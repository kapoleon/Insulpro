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20526\"/>
    </mc:Choice>
  </mc:AlternateContent>
  <xr:revisionPtr revIDLastSave="0" documentId="13_ncr:1_{402C67DC-242D-4C80-B364-679F784EFB34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J10" i="9"/>
  <c r="J9" i="9"/>
  <c r="J8" i="9"/>
  <c r="I8" i="9"/>
  <c r="I14" i="9" s="1"/>
  <c r="J7" i="9"/>
  <c r="I7" i="9"/>
  <c r="I13" i="9" s="1"/>
  <c r="J6" i="9"/>
  <c r="I6" i="9"/>
  <c r="I12" i="9" s="1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I10" i="9" s="1"/>
  <c r="H4" i="9"/>
  <c r="H15" i="9" s="1"/>
  <c r="G4" i="9"/>
  <c r="G15" i="9" s="1"/>
  <c r="F4" i="9"/>
  <c r="F15" i="9" s="1"/>
  <c r="E4" i="9"/>
  <c r="E15" i="9" s="1"/>
  <c r="D4" i="9"/>
  <c r="D15" i="9" s="1"/>
  <c r="C4" i="9"/>
  <c r="C15" i="9" s="1"/>
  <c r="B4" i="9"/>
  <c r="B15" i="9" s="1"/>
  <c r="A4" i="9"/>
  <c r="A15" i="9" s="1"/>
  <c r="K33" i="8"/>
  <c r="C33" i="8"/>
  <c r="I31" i="8"/>
  <c r="I29" i="8"/>
  <c r="J28" i="8"/>
  <c r="I28" i="8"/>
  <c r="I33" i="8" s="1"/>
  <c r="J27" i="8"/>
  <c r="J26" i="8"/>
  <c r="I26" i="8"/>
  <c r="I32" i="8" s="1"/>
  <c r="J25" i="8"/>
  <c r="I25" i="8"/>
  <c r="J24" i="8"/>
  <c r="I24" i="8"/>
  <c r="I30" i="8" s="1"/>
  <c r="G24" i="8"/>
  <c r="E24" i="8"/>
  <c r="J23" i="8"/>
  <c r="I23" i="8"/>
  <c r="G23" i="8"/>
  <c r="E23" i="8"/>
  <c r="D23" i="8"/>
  <c r="C23" i="8"/>
  <c r="M22" i="8"/>
  <c r="M33" i="8" s="1"/>
  <c r="L22" i="8"/>
  <c r="L33" i="8" s="1"/>
  <c r="K22" i="8"/>
  <c r="J22" i="8"/>
  <c r="J33" i="8" s="1"/>
  <c r="I22" i="8"/>
  <c r="H22" i="8"/>
  <c r="H33" i="8" s="1"/>
  <c r="G22" i="8"/>
  <c r="G33" i="8" s="1"/>
  <c r="F22" i="8"/>
  <c r="F33" i="8" s="1"/>
  <c r="E22" i="8"/>
  <c r="E33" i="8" s="1"/>
  <c r="D22" i="8"/>
  <c r="D33" i="8" s="1"/>
  <c r="C22" i="8"/>
  <c r="B22" i="8"/>
  <c r="B33" i="8" s="1"/>
  <c r="A22" i="8"/>
  <c r="A33" i="8" s="1"/>
  <c r="K15" i="8"/>
  <c r="C15" i="8"/>
  <c r="I13" i="8"/>
  <c r="I11" i="8"/>
  <c r="J10" i="8"/>
  <c r="I10" i="8"/>
  <c r="J9" i="8"/>
  <c r="J8" i="8"/>
  <c r="I8" i="8"/>
  <c r="I14" i="8" s="1"/>
  <c r="J7" i="8"/>
  <c r="I7" i="8"/>
  <c r="J6" i="8"/>
  <c r="I6" i="8"/>
  <c r="I12" i="8" s="1"/>
  <c r="G6" i="8"/>
  <c r="E6" i="8"/>
  <c r="J5" i="8"/>
  <c r="I5" i="8"/>
  <c r="G5" i="8"/>
  <c r="E5" i="8"/>
  <c r="D5" i="8"/>
  <c r="C5" i="8"/>
  <c r="M4" i="8"/>
  <c r="M15" i="8" s="1"/>
  <c r="L4" i="8"/>
  <c r="L15" i="8" s="1"/>
  <c r="K4" i="8"/>
  <c r="J4" i="8"/>
  <c r="J15" i="8" s="1"/>
  <c r="I4" i="8"/>
  <c r="H4" i="8"/>
  <c r="H15" i="8" s="1"/>
  <c r="G4" i="8"/>
  <c r="G15" i="8" s="1"/>
  <c r="F4" i="8"/>
  <c r="F15" i="8" s="1"/>
  <c r="E4" i="8"/>
  <c r="E15" i="8" s="1"/>
  <c r="D4" i="8"/>
  <c r="D15" i="8" s="1"/>
  <c r="C4" i="8"/>
  <c r="B4" i="8"/>
  <c r="B15" i="8" s="1"/>
  <c r="A4" i="8"/>
  <c r="A15" i="8" s="1"/>
  <c r="K33" i="7"/>
  <c r="C33" i="7"/>
  <c r="I31" i="7"/>
  <c r="I29" i="7"/>
  <c r="J28" i="7"/>
  <c r="I28" i="7"/>
  <c r="J27" i="7"/>
  <c r="J26" i="7"/>
  <c r="I26" i="7"/>
  <c r="I32" i="7" s="1"/>
  <c r="J25" i="7"/>
  <c r="I25" i="7"/>
  <c r="J24" i="7"/>
  <c r="I24" i="7"/>
  <c r="I30" i="7" s="1"/>
  <c r="G24" i="7"/>
  <c r="E24" i="7"/>
  <c r="J23" i="7"/>
  <c r="I23" i="7"/>
  <c r="G23" i="7"/>
  <c r="E23" i="7"/>
  <c r="D23" i="7"/>
  <c r="C23" i="7"/>
  <c r="M22" i="7"/>
  <c r="M33" i="7" s="1"/>
  <c r="L22" i="7"/>
  <c r="L33" i="7" s="1"/>
  <c r="K22" i="7"/>
  <c r="J22" i="7"/>
  <c r="J33" i="7" s="1"/>
  <c r="I22" i="7"/>
  <c r="H22" i="7"/>
  <c r="H33" i="7" s="1"/>
  <c r="G22" i="7"/>
  <c r="G33" i="7" s="1"/>
  <c r="F22" i="7"/>
  <c r="F33" i="7" s="1"/>
  <c r="E22" i="7"/>
  <c r="E33" i="7" s="1"/>
  <c r="D22" i="7"/>
  <c r="D33" i="7" s="1"/>
  <c r="C22" i="7"/>
  <c r="B22" i="7"/>
  <c r="B33" i="7" s="1"/>
  <c r="A22" i="7"/>
  <c r="A33" i="7" s="1"/>
  <c r="K15" i="7"/>
  <c r="C15" i="7"/>
  <c r="I13" i="7"/>
  <c r="I11" i="7"/>
  <c r="J10" i="7"/>
  <c r="I10" i="7"/>
  <c r="J9" i="7"/>
  <c r="J8" i="7"/>
  <c r="I8" i="7"/>
  <c r="I14" i="7" s="1"/>
  <c r="J7" i="7"/>
  <c r="I7" i="7"/>
  <c r="J6" i="7"/>
  <c r="I6" i="7"/>
  <c r="I12" i="7" s="1"/>
  <c r="G6" i="7"/>
  <c r="E6" i="7"/>
  <c r="J5" i="7"/>
  <c r="I5" i="7"/>
  <c r="G5" i="7"/>
  <c r="E5" i="7"/>
  <c r="D5" i="7"/>
  <c r="C5" i="7"/>
  <c r="M4" i="7"/>
  <c r="M15" i="7" s="1"/>
  <c r="L4" i="7"/>
  <c r="L15" i="7" s="1"/>
  <c r="K4" i="7"/>
  <c r="J4" i="7"/>
  <c r="J15" i="7" s="1"/>
  <c r="I4" i="7"/>
  <c r="H4" i="7"/>
  <c r="H15" i="7" s="1"/>
  <c r="G4" i="7"/>
  <c r="G15" i="7" s="1"/>
  <c r="F4" i="7"/>
  <c r="F15" i="7" s="1"/>
  <c r="E4" i="7"/>
  <c r="E15" i="7" s="1"/>
  <c r="D4" i="7"/>
  <c r="D15" i="7" s="1"/>
  <c r="C4" i="7"/>
  <c r="B4" i="7"/>
  <c r="B15" i="7" s="1"/>
  <c r="A4" i="7"/>
  <c r="A15" i="7" s="1"/>
  <c r="K33" i="6"/>
  <c r="C33" i="6"/>
  <c r="I31" i="6"/>
  <c r="I29" i="6"/>
  <c r="J28" i="6"/>
  <c r="I28" i="6"/>
  <c r="I33" i="6" s="1"/>
  <c r="J27" i="6"/>
  <c r="J26" i="6"/>
  <c r="I26" i="6"/>
  <c r="I32" i="6" s="1"/>
  <c r="J25" i="6"/>
  <c r="I25" i="6"/>
  <c r="J24" i="6"/>
  <c r="I24" i="6"/>
  <c r="I30" i="6" s="1"/>
  <c r="G24" i="6"/>
  <c r="E24" i="6"/>
  <c r="J23" i="6"/>
  <c r="I23" i="6"/>
  <c r="G23" i="6"/>
  <c r="E23" i="6"/>
  <c r="D23" i="6"/>
  <c r="C23" i="6"/>
  <c r="M22" i="6"/>
  <c r="M33" i="6" s="1"/>
  <c r="L22" i="6"/>
  <c r="L33" i="6" s="1"/>
  <c r="K22" i="6"/>
  <c r="J22" i="6"/>
  <c r="J33" i="6" s="1"/>
  <c r="I22" i="6"/>
  <c r="H22" i="6"/>
  <c r="H33" i="6" s="1"/>
  <c r="G22" i="6"/>
  <c r="G33" i="6" s="1"/>
  <c r="F22" i="6"/>
  <c r="F33" i="6" s="1"/>
  <c r="E22" i="6"/>
  <c r="E33" i="6" s="1"/>
  <c r="D22" i="6"/>
  <c r="D33" i="6" s="1"/>
  <c r="C22" i="6"/>
  <c r="B22" i="6"/>
  <c r="B33" i="6" s="1"/>
  <c r="A22" i="6"/>
  <c r="A33" i="6" s="1"/>
  <c r="K15" i="6"/>
  <c r="C15" i="6"/>
  <c r="I13" i="6"/>
  <c r="I11" i="6"/>
  <c r="J10" i="6"/>
  <c r="I10" i="6"/>
  <c r="J9" i="6"/>
  <c r="J8" i="6"/>
  <c r="I8" i="6"/>
  <c r="I14" i="6" s="1"/>
  <c r="J7" i="6"/>
  <c r="I7" i="6"/>
  <c r="J6" i="6"/>
  <c r="I6" i="6"/>
  <c r="I12" i="6" s="1"/>
  <c r="G6" i="6"/>
  <c r="E6" i="6"/>
  <c r="J5" i="6"/>
  <c r="I5" i="6"/>
  <c r="G5" i="6"/>
  <c r="E5" i="6"/>
  <c r="D5" i="6"/>
  <c r="C5" i="6"/>
  <c r="M4" i="6"/>
  <c r="M15" i="6" s="1"/>
  <c r="L4" i="6"/>
  <c r="L15" i="6" s="1"/>
  <c r="K4" i="6"/>
  <c r="J4" i="6"/>
  <c r="J15" i="6" s="1"/>
  <c r="I4" i="6"/>
  <c r="H4" i="6"/>
  <c r="H15" i="6" s="1"/>
  <c r="G4" i="6"/>
  <c r="G15" i="6" s="1"/>
  <c r="F4" i="6"/>
  <c r="F15" i="6" s="1"/>
  <c r="E4" i="6"/>
  <c r="E15" i="6" s="1"/>
  <c r="D4" i="6"/>
  <c r="D15" i="6" s="1"/>
  <c r="C4" i="6"/>
  <c r="B4" i="6"/>
  <c r="B15" i="6" s="1"/>
  <c r="A4" i="6"/>
  <c r="A15" i="6" s="1"/>
  <c r="K33" i="5"/>
  <c r="C33" i="5"/>
  <c r="I31" i="5"/>
  <c r="I29" i="5"/>
  <c r="J28" i="5"/>
  <c r="J27" i="5"/>
  <c r="J26" i="5"/>
  <c r="I26" i="5"/>
  <c r="I32" i="5" s="1"/>
  <c r="J25" i="5"/>
  <c r="I25" i="5"/>
  <c r="J24" i="5"/>
  <c r="I24" i="5"/>
  <c r="I30" i="5" s="1"/>
  <c r="G24" i="5"/>
  <c r="E24" i="5"/>
  <c r="J23" i="5"/>
  <c r="I23" i="5"/>
  <c r="G23" i="5"/>
  <c r="E23" i="5"/>
  <c r="D23" i="5"/>
  <c r="C23" i="5"/>
  <c r="M22" i="5"/>
  <c r="M33" i="5" s="1"/>
  <c r="L22" i="5"/>
  <c r="L33" i="5" s="1"/>
  <c r="K22" i="5"/>
  <c r="J22" i="5"/>
  <c r="J33" i="5" s="1"/>
  <c r="I22" i="5"/>
  <c r="I28" i="5" s="1"/>
  <c r="I33" i="5" s="1"/>
  <c r="H22" i="5"/>
  <c r="H33" i="5" s="1"/>
  <c r="G22" i="5"/>
  <c r="G33" i="5" s="1"/>
  <c r="F22" i="5"/>
  <c r="F33" i="5" s="1"/>
  <c r="E22" i="5"/>
  <c r="E33" i="5" s="1"/>
  <c r="D22" i="5"/>
  <c r="D33" i="5" s="1"/>
  <c r="C22" i="5"/>
  <c r="B22" i="5"/>
  <c r="B33" i="5" s="1"/>
  <c r="A22" i="5"/>
  <c r="A33" i="5" s="1"/>
  <c r="K15" i="5"/>
  <c r="C15" i="5"/>
  <c r="I13" i="5"/>
  <c r="I11" i="5"/>
  <c r="J10" i="5"/>
  <c r="J9" i="5"/>
  <c r="J8" i="5"/>
  <c r="I8" i="5"/>
  <c r="I14" i="5" s="1"/>
  <c r="J7" i="5"/>
  <c r="I7" i="5"/>
  <c r="J6" i="5"/>
  <c r="I6" i="5"/>
  <c r="I12" i="5" s="1"/>
  <c r="G6" i="5"/>
  <c r="E6" i="5"/>
  <c r="J5" i="5"/>
  <c r="I5" i="5"/>
  <c r="G5" i="5"/>
  <c r="E5" i="5"/>
  <c r="D5" i="5"/>
  <c r="C5" i="5"/>
  <c r="M4" i="5"/>
  <c r="M15" i="5" s="1"/>
  <c r="L4" i="5"/>
  <c r="L15" i="5" s="1"/>
  <c r="K4" i="5"/>
  <c r="J4" i="5"/>
  <c r="J15" i="5" s="1"/>
  <c r="I4" i="5"/>
  <c r="I10" i="5" s="1"/>
  <c r="I15" i="5" s="1"/>
  <c r="H4" i="5"/>
  <c r="H15" i="5" s="1"/>
  <c r="G4" i="5"/>
  <c r="G15" i="5" s="1"/>
  <c r="F4" i="5"/>
  <c r="F15" i="5" s="1"/>
  <c r="E4" i="5"/>
  <c r="E15" i="5" s="1"/>
  <c r="D4" i="5"/>
  <c r="D15" i="5" s="1"/>
  <c r="C4" i="5"/>
  <c r="B4" i="5"/>
  <c r="B15" i="5" s="1"/>
  <c r="A4" i="5"/>
  <c r="A15" i="5" s="1"/>
  <c r="M33" i="4"/>
  <c r="K33" i="4"/>
  <c r="E33" i="4"/>
  <c r="C33" i="4"/>
  <c r="I31" i="4"/>
  <c r="I29" i="4"/>
  <c r="J28" i="4"/>
  <c r="J27" i="4"/>
  <c r="J26" i="4"/>
  <c r="I26" i="4"/>
  <c r="I32" i="4" s="1"/>
  <c r="J25" i="4"/>
  <c r="I25" i="4"/>
  <c r="J24" i="4"/>
  <c r="I24" i="4"/>
  <c r="I30" i="4" s="1"/>
  <c r="G24" i="4"/>
  <c r="E24" i="4"/>
  <c r="J23" i="4"/>
  <c r="I23" i="4"/>
  <c r="G23" i="4"/>
  <c r="E23" i="4"/>
  <c r="D23" i="4"/>
  <c r="C23" i="4"/>
  <c r="M22" i="4"/>
  <c r="L22" i="4"/>
  <c r="L33" i="4" s="1"/>
  <c r="K22" i="4"/>
  <c r="J22" i="4"/>
  <c r="J33" i="4" s="1"/>
  <c r="I22" i="4"/>
  <c r="I28" i="4" s="1"/>
  <c r="I33" i="4" s="1"/>
  <c r="H22" i="4"/>
  <c r="H33" i="4" s="1"/>
  <c r="G22" i="4"/>
  <c r="G33" i="4" s="1"/>
  <c r="F22" i="4"/>
  <c r="F33" i="4" s="1"/>
  <c r="E22" i="4"/>
  <c r="D22" i="4"/>
  <c r="D33" i="4" s="1"/>
  <c r="C22" i="4"/>
  <c r="B22" i="4"/>
  <c r="B33" i="4" s="1"/>
  <c r="A22" i="4"/>
  <c r="A33" i="4" s="1"/>
  <c r="M15" i="4"/>
  <c r="K15" i="4"/>
  <c r="E15" i="4"/>
  <c r="C15" i="4"/>
  <c r="I13" i="4"/>
  <c r="I11" i="4"/>
  <c r="J10" i="4"/>
  <c r="J9" i="4"/>
  <c r="J8" i="4"/>
  <c r="I8" i="4"/>
  <c r="I14" i="4" s="1"/>
  <c r="J7" i="4"/>
  <c r="I7" i="4"/>
  <c r="J6" i="4"/>
  <c r="I6" i="4"/>
  <c r="I12" i="4" s="1"/>
  <c r="G6" i="4"/>
  <c r="E6" i="4"/>
  <c r="J5" i="4"/>
  <c r="I5" i="4"/>
  <c r="G5" i="4"/>
  <c r="E5" i="4"/>
  <c r="D5" i="4"/>
  <c r="C5" i="4"/>
  <c r="M4" i="4"/>
  <c r="L4" i="4"/>
  <c r="L15" i="4" s="1"/>
  <c r="K4" i="4"/>
  <c r="J4" i="4"/>
  <c r="J15" i="4" s="1"/>
  <c r="I4" i="4"/>
  <c r="I10" i="4" s="1"/>
  <c r="H4" i="4"/>
  <c r="H15" i="4" s="1"/>
  <c r="G4" i="4"/>
  <c r="G15" i="4" s="1"/>
  <c r="F4" i="4"/>
  <c r="F15" i="4" s="1"/>
  <c r="E4" i="4"/>
  <c r="D4" i="4"/>
  <c r="D15" i="4" s="1"/>
  <c r="C4" i="4"/>
  <c r="B4" i="4"/>
  <c r="B15" i="4" s="1"/>
  <c r="A4" i="4"/>
  <c r="A15" i="4" s="1"/>
  <c r="M33" i="3"/>
  <c r="K33" i="3"/>
  <c r="E33" i="3"/>
  <c r="C33" i="3"/>
  <c r="I31" i="3"/>
  <c r="I29" i="3"/>
  <c r="J28" i="3"/>
  <c r="J27" i="3"/>
  <c r="J26" i="3"/>
  <c r="I26" i="3"/>
  <c r="I32" i="3" s="1"/>
  <c r="J25" i="3"/>
  <c r="I25" i="3"/>
  <c r="J24" i="3"/>
  <c r="I24" i="3"/>
  <c r="I30" i="3" s="1"/>
  <c r="G24" i="3"/>
  <c r="E24" i="3"/>
  <c r="J23" i="3"/>
  <c r="I23" i="3"/>
  <c r="G23" i="3"/>
  <c r="E23" i="3"/>
  <c r="D23" i="3"/>
  <c r="C23" i="3"/>
  <c r="M22" i="3"/>
  <c r="L22" i="3"/>
  <c r="L33" i="3" s="1"/>
  <c r="K22" i="3"/>
  <c r="J22" i="3"/>
  <c r="J33" i="3" s="1"/>
  <c r="I22" i="3"/>
  <c r="I28" i="3" s="1"/>
  <c r="H22" i="3"/>
  <c r="H33" i="3" s="1"/>
  <c r="G22" i="3"/>
  <c r="G33" i="3" s="1"/>
  <c r="F22" i="3"/>
  <c r="F33" i="3" s="1"/>
  <c r="E22" i="3"/>
  <c r="D22" i="3"/>
  <c r="D33" i="3" s="1"/>
  <c r="C22" i="3"/>
  <c r="B22" i="3"/>
  <c r="B33" i="3" s="1"/>
  <c r="A22" i="3"/>
  <c r="A33" i="3" s="1"/>
  <c r="M15" i="3"/>
  <c r="K15" i="3"/>
  <c r="E15" i="3"/>
  <c r="C15" i="3"/>
  <c r="I13" i="3"/>
  <c r="I11" i="3"/>
  <c r="J10" i="3"/>
  <c r="J9" i="3"/>
  <c r="J8" i="3"/>
  <c r="I8" i="3"/>
  <c r="I14" i="3" s="1"/>
  <c r="J7" i="3"/>
  <c r="I7" i="3"/>
  <c r="J6" i="3"/>
  <c r="I6" i="3"/>
  <c r="I12" i="3" s="1"/>
  <c r="G6" i="3"/>
  <c r="E6" i="3"/>
  <c r="J5" i="3"/>
  <c r="I5" i="3"/>
  <c r="G5" i="3"/>
  <c r="E5" i="3"/>
  <c r="D5" i="3"/>
  <c r="C5" i="3"/>
  <c r="M4" i="3"/>
  <c r="L4" i="3"/>
  <c r="L15" i="3" s="1"/>
  <c r="K4" i="3"/>
  <c r="J4" i="3"/>
  <c r="J15" i="3" s="1"/>
  <c r="I4" i="3"/>
  <c r="I10" i="3" s="1"/>
  <c r="H4" i="3"/>
  <c r="H15" i="3" s="1"/>
  <c r="G4" i="3"/>
  <c r="G15" i="3" s="1"/>
  <c r="F4" i="3"/>
  <c r="F15" i="3" s="1"/>
  <c r="E4" i="3"/>
  <c r="D4" i="3"/>
  <c r="D15" i="3" s="1"/>
  <c r="C4" i="3"/>
  <c r="B4" i="3"/>
  <c r="B15" i="3" s="1"/>
  <c r="A4" i="3"/>
  <c r="A15" i="3" s="1"/>
  <c r="M33" i="2"/>
  <c r="K33" i="2"/>
  <c r="E33" i="2"/>
  <c r="C33" i="2"/>
  <c r="I31" i="2"/>
  <c r="I29" i="2"/>
  <c r="J28" i="2"/>
  <c r="J27" i="2"/>
  <c r="J26" i="2"/>
  <c r="I26" i="2"/>
  <c r="I32" i="2" s="1"/>
  <c r="J25" i="2"/>
  <c r="I25" i="2"/>
  <c r="J24" i="2"/>
  <c r="I24" i="2"/>
  <c r="I30" i="2" s="1"/>
  <c r="G24" i="2"/>
  <c r="E24" i="2"/>
  <c r="J23" i="2"/>
  <c r="I23" i="2"/>
  <c r="G23" i="2"/>
  <c r="E23" i="2"/>
  <c r="D23" i="2"/>
  <c r="C23" i="2"/>
  <c r="M22" i="2"/>
  <c r="L22" i="2"/>
  <c r="L33" i="2" s="1"/>
  <c r="K22" i="2"/>
  <c r="J22" i="2"/>
  <c r="J33" i="2" s="1"/>
  <c r="I22" i="2"/>
  <c r="I28" i="2" s="1"/>
  <c r="H22" i="2"/>
  <c r="H33" i="2" s="1"/>
  <c r="G22" i="2"/>
  <c r="G33" i="2" s="1"/>
  <c r="F22" i="2"/>
  <c r="F33" i="2" s="1"/>
  <c r="E22" i="2"/>
  <c r="D22" i="2"/>
  <c r="D33" i="2" s="1"/>
  <c r="C22" i="2"/>
  <c r="B22" i="2"/>
  <c r="B33" i="2" s="1"/>
  <c r="A22" i="2"/>
  <c r="A33" i="2" s="1"/>
  <c r="M15" i="2"/>
  <c r="K15" i="2"/>
  <c r="E15" i="2"/>
  <c r="C15" i="2"/>
  <c r="I13" i="2"/>
  <c r="I12" i="2"/>
  <c r="I11" i="2"/>
  <c r="J10" i="2"/>
  <c r="J9" i="2"/>
  <c r="J8" i="2"/>
  <c r="I8" i="2"/>
  <c r="I14" i="2" s="1"/>
  <c r="J7" i="2"/>
  <c r="I7" i="2"/>
  <c r="J6" i="2"/>
  <c r="I6" i="2"/>
  <c r="G6" i="2"/>
  <c r="E6" i="2"/>
  <c r="J5" i="2"/>
  <c r="I5" i="2"/>
  <c r="G5" i="2"/>
  <c r="E5" i="2"/>
  <c r="D5" i="2"/>
  <c r="C5" i="2"/>
  <c r="M4" i="2"/>
  <c r="L4" i="2"/>
  <c r="L15" i="2" s="1"/>
  <c r="K4" i="2"/>
  <c r="J4" i="2"/>
  <c r="J15" i="2" s="1"/>
  <c r="I4" i="2"/>
  <c r="I10" i="2" s="1"/>
  <c r="I15" i="2" s="1"/>
  <c r="H4" i="2"/>
  <c r="H15" i="2" s="1"/>
  <c r="G4" i="2"/>
  <c r="G15" i="2" s="1"/>
  <c r="F4" i="2"/>
  <c r="F15" i="2" s="1"/>
  <c r="E4" i="2"/>
  <c r="D4" i="2"/>
  <c r="D15" i="2" s="1"/>
  <c r="C4" i="2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C10" i="1" l="1"/>
  <c r="B10" i="1" s="1"/>
  <c r="B16" i="5"/>
  <c r="C7" i="1"/>
  <c r="B7" i="1" s="1"/>
  <c r="I33" i="3"/>
  <c r="B34" i="3" s="1"/>
  <c r="I33" i="2"/>
  <c r="C5" i="1" s="1"/>
  <c r="B5" i="1" s="1"/>
  <c r="B34" i="5"/>
  <c r="C11" i="1"/>
  <c r="B11" i="1" s="1"/>
  <c r="B16" i="4"/>
  <c r="I15" i="4"/>
  <c r="C8" i="1" s="1"/>
  <c r="B8" i="1" s="1"/>
  <c r="I15" i="7"/>
  <c r="C14" i="1" s="1"/>
  <c r="B14" i="1" s="1"/>
  <c r="B16" i="8"/>
  <c r="C6" i="1"/>
  <c r="B6" i="1" s="1"/>
  <c r="I15" i="3"/>
  <c r="B16" i="3" s="1"/>
  <c r="B34" i="6"/>
  <c r="C13" i="1"/>
  <c r="B13" i="1" s="1"/>
  <c r="I33" i="7"/>
  <c r="B34" i="8"/>
  <c r="C17" i="1"/>
  <c r="B17" i="1" s="1"/>
  <c r="B16" i="2"/>
  <c r="C4" i="1"/>
  <c r="B4" i="1" s="1"/>
  <c r="B34" i="7"/>
  <c r="C15" i="1"/>
  <c r="B15" i="1" s="1"/>
  <c r="B34" i="4"/>
  <c r="C9" i="1"/>
  <c r="B9" i="1" s="1"/>
  <c r="I15" i="6"/>
  <c r="C12" i="1" s="1"/>
  <c r="B12" i="1" s="1"/>
  <c r="I15" i="8"/>
  <c r="C16" i="1" s="1"/>
  <c r="B16" i="1" s="1"/>
  <c r="I15" i="9"/>
  <c r="B16" i="9" s="1"/>
  <c r="B16" i="6" l="1"/>
  <c r="B34" i="2"/>
  <c r="C18" i="1"/>
  <c r="B18" i="1" s="1"/>
  <c r="B29" i="1"/>
  <c r="B30" i="1" s="1"/>
  <c r="B16" i="7"/>
</calcChain>
</file>

<file path=xl/sharedStrings.xml><?xml version="1.0" encoding="utf-8"?>
<sst xmlns="http://schemas.openxmlformats.org/spreadsheetml/2006/main" count="1227" uniqueCount="88">
  <si>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</si>
  <si>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</si>
  <si>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</si>
  <si>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</si>
  <si>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</si>
  <si>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</si>
  <si>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</si>
  <si>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</si>
  <si>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</si>
  <si>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</si>
  <si>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</si>
  <si>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</si>
  <si>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</si>
  <si>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</si>
  <si>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</si>
  <si>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</si>
  <si>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</si>
  <si>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</si>
  <si>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</si>
  <si>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</si>
  <si>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</si>
  <si>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</si>
  <si>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</si>
  <si>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</si>
  <si>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</si>
  <si>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</si>
  <si>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</si>
  <si>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</si>
  <si>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</si>
  <si>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</si>
  <si>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</si>
  <si>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</si>
  <si>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</si>
  <si>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</si>
  <si>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</si>
  <si>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</si>
  <si>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</si>
  <si>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</si>
  <si>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</si>
  <si>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</si>
  <si>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</si>
  <si>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</si>
  <si>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</si>
  <si>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</si>
  <si>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</si>
  <si>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</si>
  <si>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</si>
  <si>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</si>
  <si>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</si>
  <si>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</si>
  <si>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</si>
  <si>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</si>
  <si>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</si>
  <si>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</si>
  <si>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</si>
  <si>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</si>
  <si>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</si>
  <si>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</si>
  <si>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</si>
  <si>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</si>
  <si>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</si>
  <si>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Monday020526093749</t>
  </si>
  <si>
    <t>Monday020526094112</t>
  </si>
  <si>
    <t>Vacation Pay</t>
  </si>
  <si>
    <t>OC  4"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</si>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</sst>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C24" sqref="C24"/>
    </sheetView>
  </sheetViews>
  <sheetFormatPr defaultColWidth="8.855468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85546875" style="11" customWidth="1"/>
    <col min="5" max="5" width="15.28515625" style="11" customWidth="1"/>
    <col min="6" max="6" width="8.85546875" style="11" customWidth="1"/>
    <col min="7" max="16384" width="8.855468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787.16</v>
      </c>
      <c r="C4" s="34">
        <f>SUM('Emp1&amp;Emp2'!A15:J15,'Emp1&amp;Emp2'!L15)</f>
        <v>657.16</v>
      </c>
      <c r="D4" s="37">
        <f>'Emp1&amp;Emp2'!K4</f>
        <v>130</v>
      </c>
      <c r="E4" s="35"/>
    </row>
    <row r="5" spans="1:5" x14ac:dyDescent="0.3">
      <c r="A5" s="29" t="str">
        <f>'Emp1&amp;Emp2'!B19</f>
        <v>Davion Burris</v>
      </c>
      <c r="B5" s="33">
        <f t="shared" si="0"/>
        <v>90</v>
      </c>
      <c r="C5" s="34">
        <f>SUM('Emp1&amp;Emp2'!A33:J33,'Emp1&amp;Emp2'!L33)</f>
        <v>90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451.18</v>
      </c>
      <c r="C6" s="34">
        <f>SUM('Emp3&amp;Emp4'!A15:J15,'Emp3&amp;Emp4'!L15)</f>
        <v>451.18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657.16</v>
      </c>
      <c r="C7" s="34">
        <f>SUM('Emp3&amp;Emp4'!A33:J33,'Emp3&amp;Emp4'!L33)</f>
        <v>657.16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917.16</v>
      </c>
      <c r="C8" s="34">
        <f>SUM('Emp5&amp;Emp6'!A15:J15,'Emp5&amp;Emp6'!L15)</f>
        <v>657.16</v>
      </c>
      <c r="D8" s="37">
        <f>'Emp5&amp;Emp6'!K4</f>
        <v>260</v>
      </c>
      <c r="E8" s="35"/>
    </row>
    <row r="9" spans="1:5" x14ac:dyDescent="0.3">
      <c r="A9" s="29" t="str">
        <f>'Emp5&amp;Emp6'!B19</f>
        <v>Mike Mato</v>
      </c>
      <c r="B9" s="33">
        <f t="shared" si="0"/>
        <v>511.47</v>
      </c>
      <c r="C9" s="34">
        <f>SUM('Emp5&amp;Emp6'!A33:J33,'Emp5&amp;Emp6'!L33)</f>
        <v>511.47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500.98</v>
      </c>
      <c r="C10" s="34">
        <f>SUM('Emp7&amp;Emp8'!A15:J15,'Emp7&amp;Emp8'!L15)</f>
        <v>370.98</v>
      </c>
      <c r="D10" s="37">
        <f>'Emp7&amp;Emp8'!K4</f>
        <v>130</v>
      </c>
      <c r="E10" s="35"/>
    </row>
    <row r="11" spans="1:5" x14ac:dyDescent="0.3">
      <c r="A11" s="29" t="str">
        <f>'Emp7&amp;Emp8'!B19</f>
        <v>Kenny Ray</v>
      </c>
      <c r="B11" s="33">
        <f t="shared" si="0"/>
        <v>657.16</v>
      </c>
      <c r="C11" s="34">
        <f>SUM('Emp7&amp;Emp8'!A33:J33,'Emp7&amp;Emp8'!L33)</f>
        <v>657.16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>
        <v>739.18</v>
      </c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2951.8799999999997</v>
      </c>
    </row>
    <row r="29" spans="1:5" x14ac:dyDescent="0.3">
      <c r="A29" s="12" t="s">
        <v>13</v>
      </c>
      <c r="B29" s="32">
        <f>SUM(B4:B18)</f>
        <v>4572.2700000000004</v>
      </c>
    </row>
    <row r="30" spans="1:5" x14ac:dyDescent="0.3">
      <c r="A30" s="12" t="s">
        <v>14</v>
      </c>
      <c r="B30" s="32">
        <f>SUM(B28:B29)</f>
        <v>7524.15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L7" sqref="L7"/>
    </sheetView>
  </sheetViews>
  <sheetFormatPr defaultColWidth="8.85546875" defaultRowHeight="16.5" x14ac:dyDescent="0.3"/>
  <cols>
    <col min="1" max="1" width="9.7109375" style="11" customWidth="1"/>
    <col min="2" max="2" width="12.28515625" style="11" customWidth="1"/>
    <col min="3" max="3" width="8.85546875" style="11" customWidth="1"/>
    <col min="4" max="4" width="12.140625" style="11" customWidth="1"/>
    <col min="5" max="5" width="9.140625" style="11" customWidth="1"/>
    <col min="6" max="6" width="8.85546875" style="11" customWidth="1"/>
    <col min="7" max="7" width="10.5703125" style="11" customWidth="1"/>
    <col min="8" max="9" width="8.85546875" style="11" customWidth="1"/>
    <col min="10" max="10" width="11.7109375" style="11" customWidth="1"/>
    <col min="11" max="12" width="10.140625" style="11" customWidth="1"/>
    <col min="13" max="13" width="10.42578125" style="11" customWidth="1"/>
    <col min="14" max="14" width="8.85546875" style="11" customWidth="1"/>
    <col min="15" max="16384" width="8.85546875" style="11"/>
  </cols>
  <sheetData>
    <row r="1" spans="1:13" x14ac:dyDescent="0.3">
      <c r="A1" s="11" t="s">
        <v>15</v>
      </c>
      <c r="B1" t="s">
        <v>16</v>
      </c>
    </row>
    <row r="3" spans="1:13" ht="17.4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130</v>
      </c>
      <c r="L4" s="39">
        <f>Emp1Record!AC3</f>
        <v>267.15999999999997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>
        <v>90</v>
      </c>
      <c r="M5" s="14"/>
    </row>
    <row r="6" spans="1:13" x14ac:dyDescent="0.3">
      <c r="A6" s="15"/>
      <c r="B6" s="15"/>
      <c r="C6" s="14"/>
      <c r="D6" s="14"/>
      <c r="E6" s="12">
        <f>Emp1Record!Z3</f>
        <v>0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0</v>
      </c>
      <c r="K6" s="15"/>
      <c r="L6" s="30">
        <v>300</v>
      </c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130</v>
      </c>
      <c r="L15" s="23">
        <f>SUM(L4:L14)</f>
        <v>657.16</v>
      </c>
      <c r="M15" s="23">
        <f>SUM(M4)</f>
        <v>0</v>
      </c>
    </row>
    <row r="16" spans="1:13" x14ac:dyDescent="0.3">
      <c r="A16" s="19" t="s">
        <v>2</v>
      </c>
      <c r="B16" s="22">
        <f>SUM(A15:M15)</f>
        <v>787.16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0</v>
      </c>
      <c r="G22" s="12">
        <f>Emp2Record!H3</f>
        <v>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0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>
        <v>90</v>
      </c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0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90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90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7" zoomScale="99" workbookViewId="0">
      <selection activeCell="L25" sqref="L25"/>
    </sheetView>
  </sheetViews>
  <sheetFormatPr defaultRowHeight="15" x14ac:dyDescent="0.25"/>
  <cols>
    <col min="2" max="2" width="10.5703125" customWidth="1"/>
    <col min="4" max="4" width="12.140625" customWidth="1"/>
    <col min="7" max="7" width="9.7109375" customWidth="1"/>
    <col min="9" max="9" width="10.28515625" customWidth="1"/>
    <col min="10" max="10" width="11.855468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95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0</v>
      </c>
      <c r="B4" s="13">
        <f>Emp3Record!C3</f>
        <v>0</v>
      </c>
      <c r="C4" s="12">
        <f>Emp3Record!D3</f>
        <v>0</v>
      </c>
      <c r="D4" s="13">
        <f>Emp3Record!E3</f>
        <v>0</v>
      </c>
      <c r="E4" s="12">
        <f>Emp3Record!F3</f>
        <v>0</v>
      </c>
      <c r="F4" s="13">
        <f>Emp3Record!G3</f>
        <v>0</v>
      </c>
      <c r="G4" s="12">
        <f>Emp3Record!H3</f>
        <v>0</v>
      </c>
      <c r="H4" s="12">
        <f>Emp3Record!I3</f>
        <v>0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136.18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0</v>
      </c>
      <c r="D5" s="13">
        <f>Emp3Record!R3</f>
        <v>0</v>
      </c>
      <c r="E5" s="13">
        <f>Emp3Record!P3</f>
        <v>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>
        <v>90</v>
      </c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0</v>
      </c>
      <c r="J6" s="13">
        <f>Emp3Record!U3</f>
        <v>0</v>
      </c>
      <c r="K6" s="15"/>
      <c r="L6" s="30">
        <v>225</v>
      </c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451.18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451.18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95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0</v>
      </c>
      <c r="B22" s="13">
        <f>Emp4Record!C3</f>
        <v>0</v>
      </c>
      <c r="C22" s="12">
        <f>Emp4Record!D3</f>
        <v>0</v>
      </c>
      <c r="D22" s="13">
        <f>Emp4Record!E3</f>
        <v>0</v>
      </c>
      <c r="E22" s="12">
        <f>Emp4Record!F3</f>
        <v>0</v>
      </c>
      <c r="F22" s="13">
        <f>Emp4Record!G3</f>
        <v>0</v>
      </c>
      <c r="G22" s="12">
        <f>Emp4Record!H3</f>
        <v>0</v>
      </c>
      <c r="H22" s="12">
        <f>Emp4Record!I3</f>
        <v>0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267.15999999999997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>
        <v>90</v>
      </c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0</v>
      </c>
      <c r="J24" s="13">
        <f>Emp4Record!U3</f>
        <v>0</v>
      </c>
      <c r="K24" s="15"/>
      <c r="L24" s="30">
        <v>300</v>
      </c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657.16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657.16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6" workbookViewId="0">
      <selection activeCell="L25" sqref="L25"/>
    </sheetView>
  </sheetViews>
  <sheetFormatPr defaultRowHeight="15" x14ac:dyDescent="0.25"/>
  <cols>
    <col min="2" max="2" width="11.4257812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0</v>
      </c>
      <c r="B4" s="13">
        <f>Emp5Record!C3</f>
        <v>0</v>
      </c>
      <c r="C4" s="12">
        <f>Emp5Record!D3</f>
        <v>0</v>
      </c>
      <c r="D4" s="13">
        <f>Emp5Record!E3</f>
        <v>0</v>
      </c>
      <c r="E4" s="12">
        <f>Emp5Record!F3</f>
        <v>0</v>
      </c>
      <c r="F4" s="13">
        <f>Emp5Record!G3</f>
        <v>0</v>
      </c>
      <c r="G4" s="12">
        <f>Emp5Record!H3</f>
        <v>0</v>
      </c>
      <c r="H4" s="12">
        <f>Emp5Record!I3</f>
        <v>0</v>
      </c>
      <c r="I4" s="12">
        <f>Emp5Record!J3</f>
        <v>0</v>
      </c>
      <c r="J4" s="12">
        <f>Emp5Record!S3</f>
        <v>0</v>
      </c>
      <c r="K4" s="13">
        <f>Emp5Record!AB3</f>
        <v>260</v>
      </c>
      <c r="L4" s="39">
        <f>Emp5Record!AC3</f>
        <v>267.15999999999997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0</v>
      </c>
      <c r="F5" s="14"/>
      <c r="G5" s="12">
        <f>Emp5Record!Q3</f>
        <v>0</v>
      </c>
      <c r="H5" s="14"/>
      <c r="I5" s="12">
        <f>Emp5Record!K3</f>
        <v>0</v>
      </c>
      <c r="J5" s="13">
        <f>Emp5Record!T3</f>
        <v>0</v>
      </c>
      <c r="K5" s="14"/>
      <c r="L5" s="30">
        <v>90</v>
      </c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0</v>
      </c>
      <c r="J6" s="13">
        <f>Emp5Record!U3</f>
        <v>0</v>
      </c>
      <c r="K6" s="15"/>
      <c r="L6" s="30">
        <v>300</v>
      </c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260</v>
      </c>
      <c r="L15" s="23">
        <f>SUM(L4:L14)</f>
        <v>657.16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917.16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0</v>
      </c>
      <c r="G22" s="12">
        <f>Emp6Record!H3</f>
        <v>0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196.47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0</v>
      </c>
      <c r="F23" s="14"/>
      <c r="G23" s="12">
        <f>Emp6Record!Q3</f>
        <v>0</v>
      </c>
      <c r="H23" s="14"/>
      <c r="I23" s="12">
        <f>Emp6Record!K3</f>
        <v>0</v>
      </c>
      <c r="J23" s="13">
        <f>Emp6Record!T3</f>
        <v>0</v>
      </c>
      <c r="K23" s="14"/>
      <c r="L23" s="30">
        <v>90</v>
      </c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0</v>
      </c>
      <c r="J24" s="13">
        <f>Emp6Record!U3</f>
        <v>0</v>
      </c>
      <c r="K24" s="15"/>
      <c r="L24" s="30">
        <v>225</v>
      </c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511.47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511.47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10" zoomScale="102" workbookViewId="0">
      <selection activeCell="L25" sqref="L25"/>
    </sheetView>
  </sheetViews>
  <sheetFormatPr defaultRowHeight="15" x14ac:dyDescent="0.25"/>
  <cols>
    <col min="2" max="2" width="11.42578125" customWidth="1"/>
  </cols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0</v>
      </c>
      <c r="F4" s="13">
        <f>Emp7Record!G3</f>
        <v>0</v>
      </c>
      <c r="G4" s="12">
        <f>Emp7Record!H3</f>
        <v>0</v>
      </c>
      <c r="H4" s="12">
        <f>Emp7Record!I3</f>
        <v>0</v>
      </c>
      <c r="I4" s="12">
        <f>Emp7Record!J3</f>
        <v>0</v>
      </c>
      <c r="J4" s="12">
        <f>Emp7Record!S3</f>
        <v>0</v>
      </c>
      <c r="K4" s="13">
        <f>Emp7Record!AB3</f>
        <v>130</v>
      </c>
      <c r="L4" s="39">
        <f>Emp7Record!AC3</f>
        <v>130.97999999999999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0</v>
      </c>
      <c r="D5" s="13">
        <f>Emp7Record!R3</f>
        <v>0</v>
      </c>
      <c r="E5" s="13">
        <f>Emp7Record!P3</f>
        <v>0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>
        <v>90</v>
      </c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0</v>
      </c>
      <c r="J6" s="13">
        <f>Emp7Record!U3</f>
        <v>0</v>
      </c>
      <c r="K6" s="15"/>
      <c r="L6" s="30">
        <v>150</v>
      </c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130</v>
      </c>
      <c r="L15" s="23">
        <f>SUM(L4:L14)</f>
        <v>370.98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500.98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267.15999999999997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>
        <v>90</v>
      </c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0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0</v>
      </c>
      <c r="K24" s="15"/>
      <c r="L24" s="30">
        <v>300</v>
      </c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657.16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657.16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9"/>
  <sheetViews>
    <sheetView zoomScaleNormal="70" workbookViewId="0">
      <selection activeCell="A7" sqref="A7"/>
    </sheetView>
  </sheetViews>
  <sheetFormatPr defaultRowHeight="15" x14ac:dyDescent="0.25"/>
  <cols>
    <col min="1" max="1" width="25.85546875" customWidth="1"/>
    <col min="2" max="2" width="13.140625" customWidth="1"/>
    <col min="3" max="3" width="12.140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85546875" customWidth="1"/>
    <col min="27" max="27" width="10.5703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4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1">
        <f t="shared" si="0"/>
        <v>130</v>
      </c>
      <c r="AC3" s="42">
        <f>SUM(AC7:AC750)</f>
        <v>267.15999999999997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196.47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70.69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130</v>
      </c>
      <c r="AC9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6"/>
  <sheetViews>
    <sheetView topLeftCell="B1" workbookViewId="0">
      <selection activeCell="B3" sqref="B3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8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136.18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65.489999999999995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70.69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8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267.15999999999997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196.47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70.69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260</v>
      </c>
      <c r="AC3" s="42">
        <f>SUM(AC7:AC750)</f>
        <v>267.15999999999997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196.47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70.69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130</v>
      </c>
      <c r="AC9">
        <v>0</v>
      </c>
    </row>
    <row r="10" spans="1:29" x14ac:dyDescent="0.2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130</v>
      </c>
      <c r="AC10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7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64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196.47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196.47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8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130</v>
      </c>
      <c r="AC3" s="42">
        <f>SUM(AC7:AC750)</f>
        <v>130.97999999999999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130.97999999999999</v>
      </c>
    </row>
    <row r="8" spans="1:29" x14ac:dyDescent="0.25">
      <c r="A8" t="s">
        <v>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130</v>
      </c>
      <c r="AC8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8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267.15999999999997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196.47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70.69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85546875" defaultRowHeight="16.5" x14ac:dyDescent="0.3"/>
  <cols>
    <col min="1" max="1" width="21.140625" style="11" customWidth="1"/>
    <col min="2" max="2" width="16.28515625" style="11" customWidth="1"/>
    <col min="3" max="3" width="8.85546875" style="11" customWidth="1"/>
    <col min="4" max="16384" width="8.85546875" style="11"/>
  </cols>
  <sheetData>
    <row r="1" spans="1:2" x14ac:dyDescent="0.3">
      <c r="A1" s="24" t="s">
        <v>65</v>
      </c>
    </row>
    <row r="2" spans="1:2" x14ac:dyDescent="0.3">
      <c r="A2" s="25" t="s">
        <v>66</v>
      </c>
      <c r="B2" s="25" t="s">
        <v>67</v>
      </c>
    </row>
    <row r="3" spans="1:2" x14ac:dyDescent="0.3">
      <c r="A3" s="26" t="s">
        <v>68</v>
      </c>
      <c r="B3" s="27">
        <v>0.09</v>
      </c>
    </row>
    <row r="4" spans="1:2" x14ac:dyDescent="0.3">
      <c r="A4" s="26" t="s">
        <v>69</v>
      </c>
      <c r="B4" s="27">
        <v>0.1</v>
      </c>
    </row>
    <row r="5" spans="1:2" x14ac:dyDescent="0.3">
      <c r="A5" s="26" t="s">
        <v>70</v>
      </c>
      <c r="B5" s="27">
        <v>2.5</v>
      </c>
    </row>
    <row r="6" spans="1:2" x14ac:dyDescent="0.3">
      <c r="A6" s="26" t="s">
        <v>71</v>
      </c>
      <c r="B6" s="27">
        <v>0.2</v>
      </c>
    </row>
    <row r="7" spans="1:2" x14ac:dyDescent="0.3">
      <c r="A7" s="26" t="s">
        <v>72</v>
      </c>
      <c r="B7" s="27">
        <v>0.06</v>
      </c>
    </row>
    <row r="8" spans="1:2" x14ac:dyDescent="0.3">
      <c r="A8" s="26" t="s">
        <v>73</v>
      </c>
      <c r="B8" s="27">
        <v>0.06</v>
      </c>
    </row>
    <row r="9" spans="1:2" x14ac:dyDescent="0.3">
      <c r="A9" s="26" t="s">
        <v>74</v>
      </c>
      <c r="B9" s="27">
        <v>0.08</v>
      </c>
    </row>
    <row r="10" spans="1:2" x14ac:dyDescent="0.3">
      <c r="A10" s="26" t="s">
        <v>75</v>
      </c>
      <c r="B10" s="27">
        <v>0.08</v>
      </c>
    </row>
    <row r="11" spans="1:2" x14ac:dyDescent="0.3">
      <c r="A11" s="26" t="s">
        <v>76</v>
      </c>
      <c r="B11" s="27">
        <v>0.09</v>
      </c>
    </row>
    <row r="12" spans="1:2" x14ac:dyDescent="0.3">
      <c r="A12" s="26" t="s">
        <v>77</v>
      </c>
      <c r="B12" s="27">
        <v>0.1</v>
      </c>
    </row>
    <row r="13" spans="1:2" x14ac:dyDescent="0.3">
      <c r="A13" s="26" t="s">
        <v>78</v>
      </c>
      <c r="B13" s="27">
        <v>0.11</v>
      </c>
    </row>
    <row r="14" spans="1:2" x14ac:dyDescent="0.3">
      <c r="A14" s="26" t="s">
        <v>79</v>
      </c>
      <c r="B14" s="27">
        <v>0.1</v>
      </c>
    </row>
    <row r="15" spans="1:2" x14ac:dyDescent="0.3">
      <c r="A15" s="26" t="s">
        <v>80</v>
      </c>
      <c r="B15" s="27">
        <v>0.22</v>
      </c>
    </row>
    <row r="16" spans="1:2" x14ac:dyDescent="0.3">
      <c r="A16" s="26" t="s">
        <v>81</v>
      </c>
      <c r="B16" s="27">
        <v>0.22</v>
      </c>
    </row>
    <row r="17" spans="1:2" x14ac:dyDescent="0.3">
      <c r="A17" s="26" t="s">
        <v>82</v>
      </c>
      <c r="B17" s="27">
        <v>0.33</v>
      </c>
    </row>
    <row r="18" spans="1:2" x14ac:dyDescent="0.3">
      <c r="A18" s="26" t="s">
        <v>83</v>
      </c>
      <c r="B18" s="27">
        <v>0.2</v>
      </c>
    </row>
    <row r="19" spans="1:2" x14ac:dyDescent="0.3">
      <c r="A19" s="26" t="s">
        <v>84</v>
      </c>
      <c r="B19" s="27">
        <v>0.22</v>
      </c>
    </row>
    <row r="20" spans="1:2" x14ac:dyDescent="0.3">
      <c r="A20" s="26" t="s">
        <v>70</v>
      </c>
      <c r="B20" s="27">
        <v>2.5</v>
      </c>
    </row>
    <row r="21" spans="1:2" x14ac:dyDescent="0.3">
      <c r="A21" s="26" t="s">
        <v>85</v>
      </c>
      <c r="B21" s="27">
        <v>130</v>
      </c>
    </row>
    <row r="22" spans="1:2" x14ac:dyDescent="0.3">
      <c r="A22" t="s">
        <v>86</v>
      </c>
      <c r="B22">
        <v>0.15</v>
      </c>
    </row>
    <row r="23" spans="1:2" x14ac:dyDescent="0.3">
      <c r="A23" t="s">
        <v>87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2026-02-05T18:16:15Z</dcterms:modified>
</cp:coreProperties>
</file>