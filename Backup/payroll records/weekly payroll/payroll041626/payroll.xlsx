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41626\"/>
    </mc:Choice>
  </mc:AlternateContent>
  <xr:revisionPtr revIDLastSave="0" documentId="13_ncr:1_{DCE9D436-88C4-447C-827A-56F43EC5D4F3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G6" i="9" s="1"/>
  <c r="Z3" i="24"/>
  <c r="Y3" i="24"/>
  <c r="X3" i="24"/>
  <c r="W3" i="24"/>
  <c r="J8" i="9" s="1"/>
  <c r="V3" i="24"/>
  <c r="U3" i="24"/>
  <c r="J6" i="9" s="1"/>
  <c r="T3" i="24"/>
  <c r="S3" i="24"/>
  <c r="J4" i="9" s="1"/>
  <c r="J15" i="9" s="1"/>
  <c r="R3" i="24"/>
  <c r="Q3" i="24"/>
  <c r="G5" i="9" s="1"/>
  <c r="P3" i="24"/>
  <c r="O3" i="24"/>
  <c r="C5" i="9" s="1"/>
  <c r="N3" i="24"/>
  <c r="M3" i="24"/>
  <c r="L3" i="24"/>
  <c r="K3" i="24"/>
  <c r="I5" i="9" s="1"/>
  <c r="I11" i="9" s="1"/>
  <c r="J3" i="24"/>
  <c r="I3" i="24"/>
  <c r="H3" i="24"/>
  <c r="G3" i="24"/>
  <c r="F4" i="9" s="1"/>
  <c r="F15" i="9" s="1"/>
  <c r="F3" i="24"/>
  <c r="E3" i="24"/>
  <c r="D3" i="24"/>
  <c r="C3" i="24"/>
  <c r="B4" i="9" s="1"/>
  <c r="B3" i="24"/>
  <c r="AC3" i="23"/>
  <c r="AB3" i="23"/>
  <c r="AA3" i="23"/>
  <c r="G24" i="8" s="1"/>
  <c r="Z3" i="23"/>
  <c r="Y3" i="23"/>
  <c r="X3" i="23"/>
  <c r="W3" i="23"/>
  <c r="J26" i="8" s="1"/>
  <c r="V3" i="23"/>
  <c r="U3" i="23"/>
  <c r="J24" i="8" s="1"/>
  <c r="T3" i="23"/>
  <c r="S3" i="23"/>
  <c r="J22" i="8" s="1"/>
  <c r="J33" i="8" s="1"/>
  <c r="R3" i="23"/>
  <c r="Q3" i="23"/>
  <c r="G23" i="8" s="1"/>
  <c r="P3" i="23"/>
  <c r="O3" i="23"/>
  <c r="C23" i="8" s="1"/>
  <c r="C33" i="8" s="1"/>
  <c r="N3" i="23"/>
  <c r="M3" i="23"/>
  <c r="L3" i="23"/>
  <c r="K3" i="23"/>
  <c r="I23" i="8" s="1"/>
  <c r="I29" i="8" s="1"/>
  <c r="J3" i="23"/>
  <c r="I3" i="23"/>
  <c r="H3" i="23"/>
  <c r="G3" i="23"/>
  <c r="F22" i="8" s="1"/>
  <c r="F33" i="8" s="1"/>
  <c r="F3" i="23"/>
  <c r="E3" i="23"/>
  <c r="D3" i="23"/>
  <c r="C3" i="23"/>
  <c r="B22" i="8" s="1"/>
  <c r="B33" i="8" s="1"/>
  <c r="B3" i="23"/>
  <c r="AC3" i="22"/>
  <c r="AB3" i="22"/>
  <c r="AA3" i="22"/>
  <c r="G6" i="8" s="1"/>
  <c r="Z3" i="22"/>
  <c r="Y3" i="22"/>
  <c r="X3" i="22"/>
  <c r="W3" i="22"/>
  <c r="J8" i="8" s="1"/>
  <c r="V3" i="22"/>
  <c r="U3" i="22"/>
  <c r="J6" i="8" s="1"/>
  <c r="T3" i="22"/>
  <c r="S3" i="22"/>
  <c r="J4" i="8" s="1"/>
  <c r="J15" i="8" s="1"/>
  <c r="R3" i="22"/>
  <c r="Q3" i="22"/>
  <c r="G5" i="8" s="1"/>
  <c r="P3" i="22"/>
  <c r="O3" i="22"/>
  <c r="C5" i="8" s="1"/>
  <c r="C15" i="8" s="1"/>
  <c r="N3" i="22"/>
  <c r="M3" i="22"/>
  <c r="L3" i="22"/>
  <c r="K3" i="22"/>
  <c r="I5" i="8" s="1"/>
  <c r="I11" i="8" s="1"/>
  <c r="J3" i="22"/>
  <c r="I3" i="22"/>
  <c r="H3" i="22"/>
  <c r="G3" i="22"/>
  <c r="F4" i="8" s="1"/>
  <c r="F15" i="8" s="1"/>
  <c r="F3" i="22"/>
  <c r="E3" i="22"/>
  <c r="D3" i="22"/>
  <c r="C3" i="22"/>
  <c r="B4" i="8" s="1"/>
  <c r="B15" i="8" s="1"/>
  <c r="B3" i="22"/>
  <c r="AC3" i="21"/>
  <c r="AB3" i="21"/>
  <c r="AA3" i="21"/>
  <c r="G24" i="7" s="1"/>
  <c r="Z3" i="21"/>
  <c r="Y3" i="21"/>
  <c r="X3" i="21"/>
  <c r="W3" i="21"/>
  <c r="J26" i="7" s="1"/>
  <c r="V3" i="21"/>
  <c r="U3" i="21"/>
  <c r="J24" i="7" s="1"/>
  <c r="T3" i="21"/>
  <c r="S3" i="21"/>
  <c r="J22" i="7" s="1"/>
  <c r="R3" i="21"/>
  <c r="Q3" i="21"/>
  <c r="G23" i="7" s="1"/>
  <c r="P3" i="21"/>
  <c r="O3" i="21"/>
  <c r="C23" i="7" s="1"/>
  <c r="C33" i="7" s="1"/>
  <c r="N3" i="21"/>
  <c r="M3" i="21"/>
  <c r="L3" i="21"/>
  <c r="K3" i="21"/>
  <c r="J3" i="21"/>
  <c r="I3" i="21"/>
  <c r="H3" i="21"/>
  <c r="G3" i="21"/>
  <c r="F22" i="7" s="1"/>
  <c r="F33" i="7" s="1"/>
  <c r="F3" i="21"/>
  <c r="E3" i="21"/>
  <c r="D3" i="21"/>
  <c r="C3" i="21"/>
  <c r="B22" i="7" s="1"/>
  <c r="B33" i="7" s="1"/>
  <c r="B3" i="21"/>
  <c r="AC3" i="20"/>
  <c r="AB3" i="20"/>
  <c r="AA3" i="20"/>
  <c r="G6" i="7" s="1"/>
  <c r="Z3" i="20"/>
  <c r="Y3" i="20"/>
  <c r="X3" i="20"/>
  <c r="W3" i="20"/>
  <c r="J8" i="7" s="1"/>
  <c r="V3" i="20"/>
  <c r="U3" i="20"/>
  <c r="J6" i="7" s="1"/>
  <c r="T3" i="20"/>
  <c r="S3" i="20"/>
  <c r="J4" i="7" s="1"/>
  <c r="J15" i="7" s="1"/>
  <c r="R3" i="20"/>
  <c r="Q3" i="20"/>
  <c r="G5" i="7" s="1"/>
  <c r="P3" i="20"/>
  <c r="O3" i="20"/>
  <c r="C5" i="7" s="1"/>
  <c r="C15" i="7" s="1"/>
  <c r="N3" i="20"/>
  <c r="M3" i="20"/>
  <c r="L3" i="20"/>
  <c r="K3" i="20"/>
  <c r="I5" i="7" s="1"/>
  <c r="I11" i="7" s="1"/>
  <c r="J3" i="20"/>
  <c r="I3" i="20"/>
  <c r="H3" i="20"/>
  <c r="G3" i="20"/>
  <c r="F4" i="7" s="1"/>
  <c r="F15" i="7" s="1"/>
  <c r="F3" i="20"/>
  <c r="E3" i="20"/>
  <c r="D3" i="20"/>
  <c r="C3" i="20"/>
  <c r="B4" i="7" s="1"/>
  <c r="B3" i="20"/>
  <c r="AC3" i="19"/>
  <c r="AB3" i="19"/>
  <c r="AA3" i="19"/>
  <c r="G24" i="6" s="1"/>
  <c r="Z3" i="19"/>
  <c r="Y3" i="19"/>
  <c r="X3" i="19"/>
  <c r="W3" i="19"/>
  <c r="J26" i="6" s="1"/>
  <c r="V3" i="19"/>
  <c r="U3" i="19"/>
  <c r="J24" i="6" s="1"/>
  <c r="T3" i="19"/>
  <c r="S3" i="19"/>
  <c r="R3" i="19"/>
  <c r="Q3" i="19"/>
  <c r="G23" i="6" s="1"/>
  <c r="P3" i="19"/>
  <c r="O3" i="19"/>
  <c r="N3" i="19"/>
  <c r="M3" i="19"/>
  <c r="L3" i="19"/>
  <c r="K3" i="19"/>
  <c r="I23" i="6" s="1"/>
  <c r="I29" i="6" s="1"/>
  <c r="J3" i="19"/>
  <c r="I3" i="19"/>
  <c r="H3" i="19"/>
  <c r="G3" i="19"/>
  <c r="F3" i="19"/>
  <c r="E3" i="19"/>
  <c r="D3" i="19"/>
  <c r="C3" i="19"/>
  <c r="B3" i="19"/>
  <c r="AC3" i="18"/>
  <c r="AB3" i="18"/>
  <c r="AA3" i="18"/>
  <c r="G6" i="6" s="1"/>
  <c r="Z3" i="18"/>
  <c r="Y3" i="18"/>
  <c r="X3" i="18"/>
  <c r="W3" i="18"/>
  <c r="J8" i="6" s="1"/>
  <c r="V3" i="18"/>
  <c r="U3" i="18"/>
  <c r="J6" i="6" s="1"/>
  <c r="T3" i="18"/>
  <c r="S3" i="18"/>
  <c r="J4" i="6" s="1"/>
  <c r="J15" i="6" s="1"/>
  <c r="R3" i="18"/>
  <c r="Q3" i="18"/>
  <c r="G5" i="6" s="1"/>
  <c r="P3" i="18"/>
  <c r="O3" i="18"/>
  <c r="C5" i="6" s="1"/>
  <c r="C15" i="6" s="1"/>
  <c r="N3" i="18"/>
  <c r="M3" i="18"/>
  <c r="L3" i="18"/>
  <c r="K3" i="18"/>
  <c r="J3" i="18"/>
  <c r="I3" i="18"/>
  <c r="H3" i="18"/>
  <c r="G3" i="18"/>
  <c r="F4" i="6" s="1"/>
  <c r="F15" i="6" s="1"/>
  <c r="F3" i="18"/>
  <c r="E3" i="18"/>
  <c r="D3" i="18"/>
  <c r="C3" i="18"/>
  <c r="B4" i="6" s="1"/>
  <c r="B15" i="6" s="1"/>
  <c r="B3" i="18"/>
  <c r="AC3" i="17"/>
  <c r="AB3" i="17"/>
  <c r="AA3" i="17"/>
  <c r="G24" i="5" s="1"/>
  <c r="Z3" i="17"/>
  <c r="Y3" i="17"/>
  <c r="X3" i="17"/>
  <c r="W3" i="17"/>
  <c r="J26" i="5" s="1"/>
  <c r="V3" i="17"/>
  <c r="U3" i="17"/>
  <c r="J24" i="5" s="1"/>
  <c r="T3" i="17"/>
  <c r="S3" i="17"/>
  <c r="J22" i="5" s="1"/>
  <c r="J33" i="5" s="1"/>
  <c r="R3" i="17"/>
  <c r="Q3" i="17"/>
  <c r="G23" i="5" s="1"/>
  <c r="P3" i="17"/>
  <c r="O3" i="17"/>
  <c r="C23" i="5" s="1"/>
  <c r="C33" i="5" s="1"/>
  <c r="N3" i="17"/>
  <c r="M3" i="17"/>
  <c r="L3" i="17"/>
  <c r="K3" i="17"/>
  <c r="J3" i="17"/>
  <c r="I3" i="17"/>
  <c r="H3" i="17"/>
  <c r="G3" i="17"/>
  <c r="F22" i="5" s="1"/>
  <c r="F33" i="5" s="1"/>
  <c r="F3" i="17"/>
  <c r="E3" i="17"/>
  <c r="D3" i="17"/>
  <c r="C3" i="17"/>
  <c r="B22" i="5" s="1"/>
  <c r="B3" i="17"/>
  <c r="AC3" i="16"/>
  <c r="AB3" i="16"/>
  <c r="AA3" i="16"/>
  <c r="G6" i="5" s="1"/>
  <c r="Z3" i="16"/>
  <c r="Y3" i="16"/>
  <c r="X3" i="16"/>
  <c r="W3" i="16"/>
  <c r="J8" i="5" s="1"/>
  <c r="V3" i="16"/>
  <c r="U3" i="16"/>
  <c r="J6" i="5" s="1"/>
  <c r="T3" i="16"/>
  <c r="S3" i="16"/>
  <c r="R3" i="16"/>
  <c r="Q3" i="16"/>
  <c r="G5" i="5" s="1"/>
  <c r="P3" i="16"/>
  <c r="O3" i="16"/>
  <c r="N3" i="16"/>
  <c r="M3" i="16"/>
  <c r="L3" i="16"/>
  <c r="K3" i="16"/>
  <c r="I5" i="5" s="1"/>
  <c r="I11" i="5" s="1"/>
  <c r="J3" i="16"/>
  <c r="I3" i="16"/>
  <c r="H3" i="16"/>
  <c r="G3" i="16"/>
  <c r="F3" i="16"/>
  <c r="E3" i="16"/>
  <c r="D3" i="16"/>
  <c r="C3" i="16"/>
  <c r="B3" i="16"/>
  <c r="AC3" i="15"/>
  <c r="AB3" i="15"/>
  <c r="AA3" i="15"/>
  <c r="G24" i="4" s="1"/>
  <c r="Z3" i="15"/>
  <c r="Y3" i="15"/>
  <c r="X3" i="15"/>
  <c r="W3" i="15"/>
  <c r="J26" i="4" s="1"/>
  <c r="V3" i="15"/>
  <c r="U3" i="15"/>
  <c r="J24" i="4" s="1"/>
  <c r="T3" i="15"/>
  <c r="S3" i="15"/>
  <c r="J22" i="4" s="1"/>
  <c r="R3" i="15"/>
  <c r="Q3" i="15"/>
  <c r="G23" i="4" s="1"/>
  <c r="P3" i="15"/>
  <c r="O3" i="15"/>
  <c r="C23" i="4" s="1"/>
  <c r="N3" i="15"/>
  <c r="M3" i="15"/>
  <c r="L3" i="15"/>
  <c r="K3" i="15"/>
  <c r="I23" i="4" s="1"/>
  <c r="I29" i="4" s="1"/>
  <c r="J3" i="15"/>
  <c r="I3" i="15"/>
  <c r="H3" i="15"/>
  <c r="G3" i="15"/>
  <c r="F22" i="4" s="1"/>
  <c r="F33" i="4" s="1"/>
  <c r="F3" i="15"/>
  <c r="E3" i="15"/>
  <c r="D3" i="15"/>
  <c r="C3" i="15"/>
  <c r="B22" i="4" s="1"/>
  <c r="B33" i="4" s="1"/>
  <c r="B3" i="15"/>
  <c r="AC3" i="14"/>
  <c r="AB3" i="14"/>
  <c r="AA3" i="14"/>
  <c r="G6" i="4" s="1"/>
  <c r="Z3" i="14"/>
  <c r="Y3" i="14"/>
  <c r="X3" i="14"/>
  <c r="W3" i="14"/>
  <c r="J8" i="4" s="1"/>
  <c r="V3" i="14"/>
  <c r="U3" i="14"/>
  <c r="J6" i="4" s="1"/>
  <c r="T3" i="14"/>
  <c r="S3" i="14"/>
  <c r="J4" i="4" s="1"/>
  <c r="J15" i="4" s="1"/>
  <c r="R3" i="14"/>
  <c r="Q3" i="14"/>
  <c r="G5" i="4" s="1"/>
  <c r="P3" i="14"/>
  <c r="O3" i="14"/>
  <c r="C5" i="4" s="1"/>
  <c r="N3" i="14"/>
  <c r="M3" i="14"/>
  <c r="L3" i="14"/>
  <c r="K3" i="14"/>
  <c r="I5" i="4" s="1"/>
  <c r="I11" i="4" s="1"/>
  <c r="J3" i="14"/>
  <c r="I3" i="14"/>
  <c r="H3" i="14"/>
  <c r="G3" i="14"/>
  <c r="F4" i="4" s="1"/>
  <c r="F15" i="4" s="1"/>
  <c r="F3" i="14"/>
  <c r="E3" i="14"/>
  <c r="D3" i="14"/>
  <c r="C3" i="14"/>
  <c r="B4" i="4" s="1"/>
  <c r="B15" i="4" s="1"/>
  <c r="B3" i="14"/>
  <c r="AC3" i="13"/>
  <c r="AB3" i="13"/>
  <c r="AA3" i="13"/>
  <c r="G24" i="3" s="1"/>
  <c r="Z3" i="13"/>
  <c r="Y3" i="13"/>
  <c r="X3" i="13"/>
  <c r="W3" i="13"/>
  <c r="J26" i="3" s="1"/>
  <c r="V3" i="13"/>
  <c r="U3" i="13"/>
  <c r="J24" i="3" s="1"/>
  <c r="T3" i="13"/>
  <c r="S3" i="13"/>
  <c r="J22" i="3" s="1"/>
  <c r="J33" i="3" s="1"/>
  <c r="R3" i="13"/>
  <c r="Q3" i="13"/>
  <c r="G23" i="3" s="1"/>
  <c r="P3" i="13"/>
  <c r="O3" i="13"/>
  <c r="C23" i="3" s="1"/>
  <c r="N3" i="13"/>
  <c r="M3" i="13"/>
  <c r="L3" i="13"/>
  <c r="K3" i="13"/>
  <c r="J3" i="13"/>
  <c r="I3" i="13"/>
  <c r="H3" i="13"/>
  <c r="G3" i="13"/>
  <c r="F22" i="3" s="1"/>
  <c r="F33" i="3" s="1"/>
  <c r="F3" i="13"/>
  <c r="E3" i="13"/>
  <c r="D3" i="13"/>
  <c r="C3" i="13"/>
  <c r="B22" i="3" s="1"/>
  <c r="B3" i="13"/>
  <c r="AC3" i="12"/>
  <c r="AB3" i="12"/>
  <c r="AA3" i="12"/>
  <c r="Z3" i="12"/>
  <c r="Y3" i="12"/>
  <c r="X3" i="12"/>
  <c r="W3" i="12"/>
  <c r="J8" i="3" s="1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G24" i="2" s="1"/>
  <c r="G33" i="2" s="1"/>
  <c r="Z3" i="11"/>
  <c r="Y3" i="11"/>
  <c r="X3" i="11"/>
  <c r="W3" i="11"/>
  <c r="J26" i="2" s="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G6" i="2" s="1"/>
  <c r="Z3" i="10"/>
  <c r="Y3" i="10"/>
  <c r="X3" i="10"/>
  <c r="W3" i="10"/>
  <c r="J8" i="2" s="1"/>
  <c r="V3" i="10"/>
  <c r="U3" i="10"/>
  <c r="T3" i="10"/>
  <c r="S3" i="10"/>
  <c r="J4" i="2" s="1"/>
  <c r="J15" i="2" s="1"/>
  <c r="R3" i="10"/>
  <c r="Q3" i="10"/>
  <c r="P3" i="10"/>
  <c r="O3" i="10"/>
  <c r="C5" i="2" s="1"/>
  <c r="C15" i="2" s="1"/>
  <c r="N3" i="10"/>
  <c r="M3" i="10"/>
  <c r="L3" i="10"/>
  <c r="K3" i="10"/>
  <c r="I5" i="2" s="1"/>
  <c r="I11" i="2" s="1"/>
  <c r="J3" i="10"/>
  <c r="I3" i="10"/>
  <c r="H3" i="10"/>
  <c r="G3" i="10"/>
  <c r="F4" i="2" s="1"/>
  <c r="F15" i="2" s="1"/>
  <c r="F3" i="10"/>
  <c r="E3" i="10"/>
  <c r="D3" i="10"/>
  <c r="C3" i="10"/>
  <c r="B4" i="2" s="1"/>
  <c r="B15" i="2" s="1"/>
  <c r="B3" i="10"/>
  <c r="B15" i="9"/>
  <c r="I14" i="9"/>
  <c r="J10" i="9"/>
  <c r="J9" i="9"/>
  <c r="I8" i="9"/>
  <c r="J7" i="9"/>
  <c r="I7" i="9"/>
  <c r="I13" i="9" s="1"/>
  <c r="I6" i="9"/>
  <c r="I12" i="9" s="1"/>
  <c r="E6" i="9"/>
  <c r="J5" i="9"/>
  <c r="E5" i="9"/>
  <c r="D5" i="9"/>
  <c r="M4" i="9"/>
  <c r="M15" i="9" s="1"/>
  <c r="L4" i="9"/>
  <c r="L15" i="9" s="1"/>
  <c r="K4" i="9"/>
  <c r="K15" i="9" s="1"/>
  <c r="I4" i="9"/>
  <c r="I10" i="9" s="1"/>
  <c r="H4" i="9"/>
  <c r="H15" i="9" s="1"/>
  <c r="G4" i="9"/>
  <c r="G15" i="9" s="1"/>
  <c r="E4" i="9"/>
  <c r="D4" i="9"/>
  <c r="D15" i="9" s="1"/>
  <c r="C4" i="9"/>
  <c r="C15" i="9" s="1"/>
  <c r="A4" i="9"/>
  <c r="A15" i="9" s="1"/>
  <c r="L33" i="8"/>
  <c r="K33" i="8"/>
  <c r="H33" i="8"/>
  <c r="I30" i="8"/>
  <c r="J28" i="8"/>
  <c r="J27" i="8"/>
  <c r="I26" i="8"/>
  <c r="I32" i="8" s="1"/>
  <c r="J25" i="8"/>
  <c r="I25" i="8"/>
  <c r="I31" i="8" s="1"/>
  <c r="I24" i="8"/>
  <c r="E24" i="8"/>
  <c r="J23" i="8"/>
  <c r="E23" i="8"/>
  <c r="D23" i="8"/>
  <c r="M22" i="8"/>
  <c r="M33" i="8" s="1"/>
  <c r="L22" i="8"/>
  <c r="K22" i="8"/>
  <c r="I22" i="8"/>
  <c r="I28" i="8" s="1"/>
  <c r="H22" i="8"/>
  <c r="G22" i="8"/>
  <c r="E22" i="8"/>
  <c r="D22" i="8"/>
  <c r="D33" i="8" s="1"/>
  <c r="C22" i="8"/>
  <c r="A22" i="8"/>
  <c r="A33" i="8" s="1"/>
  <c r="L15" i="8"/>
  <c r="K15" i="8"/>
  <c r="H15" i="8"/>
  <c r="D15" i="8"/>
  <c r="I12" i="8"/>
  <c r="J10" i="8"/>
  <c r="J9" i="8"/>
  <c r="I8" i="8"/>
  <c r="I14" i="8" s="1"/>
  <c r="J7" i="8"/>
  <c r="I7" i="8"/>
  <c r="I13" i="8" s="1"/>
  <c r="I6" i="8"/>
  <c r="E6" i="8"/>
  <c r="J5" i="8"/>
  <c r="E5" i="8"/>
  <c r="D5" i="8"/>
  <c r="M4" i="8"/>
  <c r="M15" i="8" s="1"/>
  <c r="L4" i="8"/>
  <c r="K4" i="8"/>
  <c r="I4" i="8"/>
  <c r="I10" i="8" s="1"/>
  <c r="H4" i="8"/>
  <c r="G4" i="8"/>
  <c r="E4" i="8"/>
  <c r="E15" i="8" s="1"/>
  <c r="D4" i="8"/>
  <c r="C4" i="8"/>
  <c r="A4" i="8"/>
  <c r="A15" i="8" s="1"/>
  <c r="K33" i="7"/>
  <c r="J28" i="7"/>
  <c r="J27" i="7"/>
  <c r="J33" i="7" s="1"/>
  <c r="I26" i="7"/>
  <c r="I32" i="7" s="1"/>
  <c r="J25" i="7"/>
  <c r="I25" i="7"/>
  <c r="I31" i="7" s="1"/>
  <c r="I24" i="7"/>
  <c r="I30" i="7" s="1"/>
  <c r="E24" i="7"/>
  <c r="J23" i="7"/>
  <c r="I23" i="7"/>
  <c r="I29" i="7" s="1"/>
  <c r="E23" i="7"/>
  <c r="D23" i="7"/>
  <c r="M22" i="7"/>
  <c r="M33" i="7" s="1"/>
  <c r="L22" i="7"/>
  <c r="L33" i="7" s="1"/>
  <c r="K22" i="7"/>
  <c r="I22" i="7"/>
  <c r="I28" i="7" s="1"/>
  <c r="H22" i="7"/>
  <c r="H33" i="7" s="1"/>
  <c r="G22" i="7"/>
  <c r="E22" i="7"/>
  <c r="E33" i="7" s="1"/>
  <c r="D22" i="7"/>
  <c r="D33" i="7" s="1"/>
  <c r="C22" i="7"/>
  <c r="A22" i="7"/>
  <c r="A33" i="7" s="1"/>
  <c r="K15" i="7"/>
  <c r="B15" i="7"/>
  <c r="J10" i="7"/>
  <c r="J9" i="7"/>
  <c r="I8" i="7"/>
  <c r="I14" i="7" s="1"/>
  <c r="J7" i="7"/>
  <c r="I7" i="7"/>
  <c r="I13" i="7" s="1"/>
  <c r="I6" i="7"/>
  <c r="I12" i="7" s="1"/>
  <c r="E6" i="7"/>
  <c r="J5" i="7"/>
  <c r="E5" i="7"/>
  <c r="D5" i="7"/>
  <c r="M4" i="7"/>
  <c r="M15" i="7" s="1"/>
  <c r="L4" i="7"/>
  <c r="L15" i="7" s="1"/>
  <c r="K4" i="7"/>
  <c r="I4" i="7"/>
  <c r="I10" i="7" s="1"/>
  <c r="H4" i="7"/>
  <c r="H15" i="7" s="1"/>
  <c r="G4" i="7"/>
  <c r="E4" i="7"/>
  <c r="D4" i="7"/>
  <c r="D15" i="7" s="1"/>
  <c r="C4" i="7"/>
  <c r="A4" i="7"/>
  <c r="A15" i="7" s="1"/>
  <c r="L33" i="6"/>
  <c r="K33" i="6"/>
  <c r="H33" i="6"/>
  <c r="I30" i="6"/>
  <c r="J28" i="6"/>
  <c r="J27" i="6"/>
  <c r="I26" i="6"/>
  <c r="I32" i="6" s="1"/>
  <c r="J25" i="6"/>
  <c r="I25" i="6"/>
  <c r="I31" i="6" s="1"/>
  <c r="I24" i="6"/>
  <c r="E24" i="6"/>
  <c r="J23" i="6"/>
  <c r="E23" i="6"/>
  <c r="D23" i="6"/>
  <c r="C23" i="6"/>
  <c r="C33" i="6" s="1"/>
  <c r="M22" i="6"/>
  <c r="M33" i="6" s="1"/>
  <c r="L22" i="6"/>
  <c r="K22" i="6"/>
  <c r="J22" i="6"/>
  <c r="J33" i="6" s="1"/>
  <c r="I22" i="6"/>
  <c r="I28" i="6" s="1"/>
  <c r="H22" i="6"/>
  <c r="G22" i="6"/>
  <c r="F22" i="6"/>
  <c r="F33" i="6" s="1"/>
  <c r="E22" i="6"/>
  <c r="D22" i="6"/>
  <c r="D33" i="6" s="1"/>
  <c r="C22" i="6"/>
  <c r="B22" i="6"/>
  <c r="B33" i="6" s="1"/>
  <c r="A22" i="6"/>
  <c r="A33" i="6" s="1"/>
  <c r="L15" i="6"/>
  <c r="K15" i="6"/>
  <c r="H15" i="6"/>
  <c r="D15" i="6"/>
  <c r="I12" i="6"/>
  <c r="J10" i="6"/>
  <c r="J9" i="6"/>
  <c r="I8" i="6"/>
  <c r="I14" i="6" s="1"/>
  <c r="J7" i="6"/>
  <c r="I7" i="6"/>
  <c r="I13" i="6" s="1"/>
  <c r="I6" i="6"/>
  <c r="E6" i="6"/>
  <c r="J5" i="6"/>
  <c r="I5" i="6"/>
  <c r="I11" i="6" s="1"/>
  <c r="E5" i="6"/>
  <c r="D5" i="6"/>
  <c r="M4" i="6"/>
  <c r="M15" i="6" s="1"/>
  <c r="L4" i="6"/>
  <c r="K4" i="6"/>
  <c r="I4" i="6"/>
  <c r="I10" i="6" s="1"/>
  <c r="I15" i="6" s="1"/>
  <c r="H4" i="6"/>
  <c r="G4" i="6"/>
  <c r="E4" i="6"/>
  <c r="E15" i="6" s="1"/>
  <c r="D4" i="6"/>
  <c r="C4" i="6"/>
  <c r="A4" i="6"/>
  <c r="A15" i="6" s="1"/>
  <c r="K33" i="5"/>
  <c r="B33" i="5"/>
  <c r="J28" i="5"/>
  <c r="J27" i="5"/>
  <c r="I26" i="5"/>
  <c r="I32" i="5" s="1"/>
  <c r="J25" i="5"/>
  <c r="I25" i="5"/>
  <c r="I31" i="5" s="1"/>
  <c r="I24" i="5"/>
  <c r="I30" i="5" s="1"/>
  <c r="E24" i="5"/>
  <c r="J23" i="5"/>
  <c r="I23" i="5"/>
  <c r="I29" i="5" s="1"/>
  <c r="E23" i="5"/>
  <c r="D23" i="5"/>
  <c r="M22" i="5"/>
  <c r="M33" i="5" s="1"/>
  <c r="L22" i="5"/>
  <c r="L33" i="5" s="1"/>
  <c r="K22" i="5"/>
  <c r="I22" i="5"/>
  <c r="I28" i="5" s="1"/>
  <c r="H22" i="5"/>
  <c r="H33" i="5" s="1"/>
  <c r="G22" i="5"/>
  <c r="E22" i="5"/>
  <c r="E33" i="5" s="1"/>
  <c r="D22" i="5"/>
  <c r="D33" i="5" s="1"/>
  <c r="C22" i="5"/>
  <c r="A22" i="5"/>
  <c r="A33" i="5" s="1"/>
  <c r="H15" i="5"/>
  <c r="I12" i="5"/>
  <c r="J10" i="5"/>
  <c r="J9" i="5"/>
  <c r="I8" i="5"/>
  <c r="I14" i="5" s="1"/>
  <c r="J7" i="5"/>
  <c r="I7" i="5"/>
  <c r="I13" i="5" s="1"/>
  <c r="I6" i="5"/>
  <c r="E6" i="5"/>
  <c r="J5" i="5"/>
  <c r="E5" i="5"/>
  <c r="D5" i="5"/>
  <c r="C5" i="5"/>
  <c r="M4" i="5"/>
  <c r="M15" i="5" s="1"/>
  <c r="L4" i="5"/>
  <c r="L15" i="5" s="1"/>
  <c r="K4" i="5"/>
  <c r="K15" i="5" s="1"/>
  <c r="J4" i="5"/>
  <c r="J15" i="5" s="1"/>
  <c r="I4" i="5"/>
  <c r="I10" i="5" s="1"/>
  <c r="H4" i="5"/>
  <c r="G4" i="5"/>
  <c r="G15" i="5" s="1"/>
  <c r="F4" i="5"/>
  <c r="F15" i="5" s="1"/>
  <c r="E4" i="5"/>
  <c r="D4" i="5"/>
  <c r="D15" i="5" s="1"/>
  <c r="C4" i="5"/>
  <c r="B4" i="5"/>
  <c r="B15" i="5" s="1"/>
  <c r="A4" i="5"/>
  <c r="A15" i="5" s="1"/>
  <c r="J28" i="4"/>
  <c r="J27" i="4"/>
  <c r="J33" i="4" s="1"/>
  <c r="I26" i="4"/>
  <c r="I32" i="4" s="1"/>
  <c r="J25" i="4"/>
  <c r="I25" i="4"/>
  <c r="I31" i="4" s="1"/>
  <c r="I24" i="4"/>
  <c r="I30" i="4" s="1"/>
  <c r="E24" i="4"/>
  <c r="J23" i="4"/>
  <c r="E23" i="4"/>
  <c r="D23" i="4"/>
  <c r="M22" i="4"/>
  <c r="M33" i="4" s="1"/>
  <c r="L22" i="4"/>
  <c r="L33" i="4" s="1"/>
  <c r="K22" i="4"/>
  <c r="K33" i="4" s="1"/>
  <c r="I22" i="4"/>
  <c r="I28" i="4" s="1"/>
  <c r="H22" i="4"/>
  <c r="H33" i="4" s="1"/>
  <c r="G22" i="4"/>
  <c r="E22" i="4"/>
  <c r="E33" i="4" s="1"/>
  <c r="D22" i="4"/>
  <c r="D33" i="4" s="1"/>
  <c r="C22" i="4"/>
  <c r="A22" i="4"/>
  <c r="A33" i="4" s="1"/>
  <c r="H15" i="4"/>
  <c r="I12" i="4"/>
  <c r="J10" i="4"/>
  <c r="J9" i="4"/>
  <c r="I8" i="4"/>
  <c r="I14" i="4" s="1"/>
  <c r="J7" i="4"/>
  <c r="I7" i="4"/>
  <c r="I13" i="4" s="1"/>
  <c r="I6" i="4"/>
  <c r="E6" i="4"/>
  <c r="J5" i="4"/>
  <c r="E5" i="4"/>
  <c r="D5" i="4"/>
  <c r="M4" i="4"/>
  <c r="M15" i="4" s="1"/>
  <c r="L4" i="4"/>
  <c r="L15" i="4" s="1"/>
  <c r="K4" i="4"/>
  <c r="K15" i="4" s="1"/>
  <c r="I4" i="4"/>
  <c r="I10" i="4" s="1"/>
  <c r="H4" i="4"/>
  <c r="G4" i="4"/>
  <c r="E4" i="4"/>
  <c r="D4" i="4"/>
  <c r="D15" i="4" s="1"/>
  <c r="C4" i="4"/>
  <c r="A4" i="4"/>
  <c r="A15" i="4" s="1"/>
  <c r="B33" i="3"/>
  <c r="J28" i="3"/>
  <c r="J27" i="3"/>
  <c r="I26" i="3"/>
  <c r="I32" i="3" s="1"/>
  <c r="J25" i="3"/>
  <c r="I25" i="3"/>
  <c r="I31" i="3" s="1"/>
  <c r="I24" i="3"/>
  <c r="I30" i="3" s="1"/>
  <c r="E24" i="3"/>
  <c r="J23" i="3"/>
  <c r="I23" i="3"/>
  <c r="I29" i="3" s="1"/>
  <c r="E23" i="3"/>
  <c r="D23" i="3"/>
  <c r="M22" i="3"/>
  <c r="M33" i="3" s="1"/>
  <c r="L22" i="3"/>
  <c r="L33" i="3" s="1"/>
  <c r="K22" i="3"/>
  <c r="K33" i="3" s="1"/>
  <c r="I22" i="3"/>
  <c r="I28" i="3" s="1"/>
  <c r="H22" i="3"/>
  <c r="H33" i="3" s="1"/>
  <c r="G22" i="3"/>
  <c r="E22" i="3"/>
  <c r="E33" i="3" s="1"/>
  <c r="D22" i="3"/>
  <c r="D33" i="3" s="1"/>
  <c r="C22" i="3"/>
  <c r="A22" i="3"/>
  <c r="A33" i="3" s="1"/>
  <c r="H15" i="3"/>
  <c r="D15" i="3"/>
  <c r="I13" i="3"/>
  <c r="J10" i="3"/>
  <c r="J9" i="3"/>
  <c r="I8" i="3"/>
  <c r="I14" i="3" s="1"/>
  <c r="J7" i="3"/>
  <c r="I7" i="3"/>
  <c r="J6" i="3"/>
  <c r="I6" i="3"/>
  <c r="I12" i="3" s="1"/>
  <c r="G6" i="3"/>
  <c r="E6" i="3"/>
  <c r="J5" i="3"/>
  <c r="I5" i="3"/>
  <c r="I11" i="3" s="1"/>
  <c r="G5" i="3"/>
  <c r="E5" i="3"/>
  <c r="D5" i="3"/>
  <c r="C5" i="3"/>
  <c r="C15" i="3" s="1"/>
  <c r="M4" i="3"/>
  <c r="M15" i="3" s="1"/>
  <c r="L4" i="3"/>
  <c r="L15" i="3" s="1"/>
  <c r="K4" i="3"/>
  <c r="K15" i="3" s="1"/>
  <c r="J4" i="3"/>
  <c r="I4" i="3"/>
  <c r="I10" i="3" s="1"/>
  <c r="H4" i="3"/>
  <c r="G4" i="3"/>
  <c r="F4" i="3"/>
  <c r="F15" i="3" s="1"/>
  <c r="E4" i="3"/>
  <c r="E15" i="3" s="1"/>
  <c r="D4" i="3"/>
  <c r="C4" i="3"/>
  <c r="B4" i="3"/>
  <c r="B15" i="3" s="1"/>
  <c r="A4" i="3"/>
  <c r="A15" i="3" s="1"/>
  <c r="L33" i="2"/>
  <c r="K33" i="2"/>
  <c r="H33" i="2"/>
  <c r="D33" i="2"/>
  <c r="I31" i="2"/>
  <c r="J28" i="2"/>
  <c r="I28" i="2"/>
  <c r="J27" i="2"/>
  <c r="I26" i="2"/>
  <c r="I32" i="2" s="1"/>
  <c r="J25" i="2"/>
  <c r="I25" i="2"/>
  <c r="J24" i="2"/>
  <c r="I24" i="2"/>
  <c r="I30" i="2" s="1"/>
  <c r="E24" i="2"/>
  <c r="J23" i="2"/>
  <c r="I23" i="2"/>
  <c r="I29" i="2" s="1"/>
  <c r="G23" i="2"/>
  <c r="E23" i="2"/>
  <c r="D23" i="2"/>
  <c r="C23" i="2"/>
  <c r="C33" i="2" s="1"/>
  <c r="M22" i="2"/>
  <c r="M33" i="2" s="1"/>
  <c r="L22" i="2"/>
  <c r="K22" i="2"/>
  <c r="J22" i="2"/>
  <c r="J33" i="2" s="1"/>
  <c r="I22" i="2"/>
  <c r="H22" i="2"/>
  <c r="G22" i="2"/>
  <c r="F22" i="2"/>
  <c r="F33" i="2" s="1"/>
  <c r="E22" i="2"/>
  <c r="E33" i="2" s="1"/>
  <c r="D22" i="2"/>
  <c r="C22" i="2"/>
  <c r="B22" i="2"/>
  <c r="B33" i="2" s="1"/>
  <c r="A22" i="2"/>
  <c r="A33" i="2" s="1"/>
  <c r="L15" i="2"/>
  <c r="K15" i="2"/>
  <c r="H15" i="2"/>
  <c r="D15" i="2"/>
  <c r="I14" i="2"/>
  <c r="I13" i="2"/>
  <c r="J10" i="2"/>
  <c r="I10" i="2"/>
  <c r="J9" i="2"/>
  <c r="I8" i="2"/>
  <c r="J7" i="2"/>
  <c r="I7" i="2"/>
  <c r="J6" i="2"/>
  <c r="I6" i="2"/>
  <c r="I12" i="2" s="1"/>
  <c r="E6" i="2"/>
  <c r="J5" i="2"/>
  <c r="G5" i="2"/>
  <c r="G15" i="2" s="1"/>
  <c r="E5" i="2"/>
  <c r="D5" i="2"/>
  <c r="M4" i="2"/>
  <c r="M15" i="2" s="1"/>
  <c r="L4" i="2"/>
  <c r="K4" i="2"/>
  <c r="I4" i="2"/>
  <c r="H4" i="2"/>
  <c r="G4" i="2"/>
  <c r="E4" i="2"/>
  <c r="E15" i="2" s="1"/>
  <c r="D4" i="2"/>
  <c r="C4" i="2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I15" i="3" l="1"/>
  <c r="I33" i="4"/>
  <c r="J15" i="3"/>
  <c r="I33" i="2"/>
  <c r="C5" i="1" s="1"/>
  <c r="B5" i="1" s="1"/>
  <c r="I33" i="3"/>
  <c r="I33" i="5"/>
  <c r="I15" i="8"/>
  <c r="I15" i="2"/>
  <c r="C4" i="1" s="1"/>
  <c r="B4" i="1" s="1"/>
  <c r="C15" i="5"/>
  <c r="B16" i="5" s="1"/>
  <c r="B16" i="6"/>
  <c r="B34" i="7"/>
  <c r="C15" i="4"/>
  <c r="B16" i="4" s="1"/>
  <c r="G15" i="4"/>
  <c r="I33" i="7"/>
  <c r="G15" i="3"/>
  <c r="B16" i="3" s="1"/>
  <c r="E15" i="7"/>
  <c r="B16" i="7" s="1"/>
  <c r="I15" i="7"/>
  <c r="E15" i="9"/>
  <c r="B16" i="9" s="1"/>
  <c r="I15" i="9"/>
  <c r="C33" i="3"/>
  <c r="C7" i="1" s="1"/>
  <c r="B7" i="1" s="1"/>
  <c r="G33" i="3"/>
  <c r="E15" i="4"/>
  <c r="I15" i="4"/>
  <c r="C33" i="4"/>
  <c r="C9" i="1" s="1"/>
  <c r="B9" i="1" s="1"/>
  <c r="G33" i="4"/>
  <c r="E15" i="5"/>
  <c r="C10" i="1" s="1"/>
  <c r="B10" i="1" s="1"/>
  <c r="I15" i="5"/>
  <c r="E33" i="6"/>
  <c r="C13" i="1" s="1"/>
  <c r="B13" i="1" s="1"/>
  <c r="I33" i="6"/>
  <c r="E33" i="8"/>
  <c r="C17" i="1" s="1"/>
  <c r="B17" i="1" s="1"/>
  <c r="I33" i="8"/>
  <c r="G33" i="5"/>
  <c r="B34" i="5" s="1"/>
  <c r="G15" i="6"/>
  <c r="C12" i="1" s="1"/>
  <c r="B12" i="1" s="1"/>
  <c r="G33" i="6"/>
  <c r="G15" i="7"/>
  <c r="C14" i="1" s="1"/>
  <c r="B14" i="1" s="1"/>
  <c r="G33" i="7"/>
  <c r="C15" i="1" s="1"/>
  <c r="B15" i="1" s="1"/>
  <c r="G15" i="8"/>
  <c r="C16" i="1" s="1"/>
  <c r="B16" i="1" s="1"/>
  <c r="G33" i="8"/>
  <c r="C6" i="1" l="1"/>
  <c r="B6" i="1" s="1"/>
  <c r="B29" i="1" s="1"/>
  <c r="B30" i="1" s="1"/>
  <c r="B16" i="8"/>
  <c r="B34" i="4"/>
  <c r="B16" i="2"/>
  <c r="C11" i="1"/>
  <c r="B11" i="1" s="1"/>
  <c r="C8" i="1"/>
  <c r="B8" i="1" s="1"/>
  <c r="B34" i="2"/>
  <c r="B34" i="3"/>
  <c r="C18" i="1"/>
  <c r="B18" i="1" s="1"/>
  <c r="B34" i="8"/>
  <c r="B34" i="6"/>
</calcChain>
</file>

<file path=xl/sharedStrings.xml><?xml version="1.0" encoding="utf-8"?>
<sst xmlns="http://schemas.openxmlformats.org/spreadsheetml/2006/main" count="1255" uniqueCount="101">
  <si>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</si>
  <si>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</si>
  <si>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</si>
  <si>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</si>
  <si>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</si>
  <si>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</si>
  <si>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</si>
  <si>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</si>
  <si>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</si>
  <si>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</si>
  <si>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</si>
  <si>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</si>
  <si>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</si>
  <si>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</si>
  <si>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</si>
  <si>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</si>
  <si>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</si>
  <si>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</si>
  <si>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</si>
  <si>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</si>
  <si>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</si>
  <si>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</si>
  <si>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</si>
  <si>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</si>
  <si>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</si>
  <si>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</si>
  <si>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</si>
  <si>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</si>
  <si>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</si>
  <si>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</si>
  <si>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</si>
  <si>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</si>
  <si>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</si>
  <si>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</si>
  <si>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</si>
  <si>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</si>
  <si>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</si>
  <si>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</si>
  <si>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</si>
  <si>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</si>
  <si>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</si>
  <si>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</si>
  <si>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</si>
  <si>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</si>
  <si>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</si>
  <si>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</si>
  <si>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</si>
  <si>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</si>
  <si>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</si>
  <si>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</si>
  <si>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</si>
  <si>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</si>
  <si>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</si>
  <si>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</si>
  <si>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</si>
  <si>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</si>
  <si>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</si>
  <si>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</si>
  <si>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</si>
  <si>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</si>
  <si>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</si>
  <si>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Fueger Porch</t>
  </si>
  <si>
    <t>Joe Bayer</t>
  </si>
  <si>
    <t>Foam Trailer</t>
  </si>
  <si>
    <t>Jim Garrison</t>
  </si>
  <si>
    <t>All Custom Prep-MDS</t>
  </si>
  <si>
    <t>All Custom Closed</t>
  </si>
  <si>
    <t>Rich Estes</t>
  </si>
  <si>
    <t>Theresaa Moore</t>
  </si>
  <si>
    <t>Cathy Claybrook</t>
  </si>
  <si>
    <t>CAC 2897 Lake Crawl</t>
  </si>
  <si>
    <t>CAC 2791 Lake CF</t>
  </si>
  <si>
    <t>CAC kempf Barn</t>
  </si>
  <si>
    <t>CAC Saddlebrook</t>
  </si>
  <si>
    <t>Vacation Pay</t>
  </si>
  <si>
    <t>Happe Sons</t>
  </si>
  <si>
    <t>OC  4"</t>
  </si>
  <si>
    <t>Monday041626083826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</si>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</sst>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B24" sqref="B24"/>
    </sheetView>
  </sheetViews>
  <sheetFormatPr defaultColWidth="8.71093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7109375" style="11" customWidth="1"/>
    <col min="5" max="5" width="15.28515625" style="11" customWidth="1"/>
    <col min="6" max="7" width="8.7109375" style="11" customWidth="1"/>
    <col min="8" max="16384" width="8.71093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961.79</v>
      </c>
      <c r="C4" s="34">
        <f>SUM('Emp1&amp;Emp2'!A15:J15,'Emp1&amp;Emp2'!L15)</f>
        <v>961.79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664.31</v>
      </c>
      <c r="C5" s="34">
        <f>SUM('Emp1&amp;Emp2'!A33:J33,'Emp1&amp;Emp2'!L33)</f>
        <v>664.31</v>
      </c>
      <c r="D5" s="37">
        <f>'Emp1&amp;Emp2'!K22</f>
        <v>0</v>
      </c>
      <c r="E5" s="36"/>
    </row>
    <row r="6" spans="1:5" x14ac:dyDescent="0.3">
      <c r="A6" s="29" t="str">
        <f>'Emp3&amp;Emp4'!B1</f>
        <v>Chris Classen</v>
      </c>
      <c r="B6" s="33">
        <f t="shared" si="0"/>
        <v>729.16</v>
      </c>
      <c r="C6" s="34">
        <f>SUM('Emp3&amp;Emp4'!A15:J15,'Emp3&amp;Emp4'!L15)</f>
        <v>599.16</v>
      </c>
      <c r="D6" s="37">
        <f>'Emp3&amp;Emp4'!K4</f>
        <v>130</v>
      </c>
      <c r="E6" s="35"/>
    </row>
    <row r="7" spans="1:5" x14ac:dyDescent="0.3">
      <c r="A7" s="29" t="str">
        <f>'Emp3&amp;Emp4'!B19</f>
        <v>Jeremy Denton</v>
      </c>
      <c r="B7" s="33">
        <f t="shared" si="0"/>
        <v>621</v>
      </c>
      <c r="C7" s="34">
        <f>SUM('Emp3&amp;Emp4'!A33:J33,'Emp3&amp;Emp4'!L33)</f>
        <v>621</v>
      </c>
      <c r="D7" s="37">
        <f>'Emp3&amp;Emp4'!K22</f>
        <v>0</v>
      </c>
      <c r="E7" s="35"/>
    </row>
    <row r="8" spans="1:5" x14ac:dyDescent="0.3">
      <c r="A8" s="29" t="str">
        <f>'Emp5&amp;Emp6'!B1</f>
        <v>Glen Hayes</v>
      </c>
      <c r="B8" s="33">
        <f t="shared" si="0"/>
        <v>621</v>
      </c>
      <c r="C8" s="34">
        <f>SUM('Emp5&amp;Emp6'!A15:J15,'Emp5&amp;Emp6'!L15)</f>
        <v>621</v>
      </c>
      <c r="D8" s="37">
        <f>'Emp5&amp;Emp6'!K4</f>
        <v>0</v>
      </c>
      <c r="E8" s="35"/>
    </row>
    <row r="9" spans="1:5" x14ac:dyDescent="0.3">
      <c r="A9" s="29" t="str">
        <f>'Emp5&amp;Emp6'!B19</f>
        <v>Mike Mato</v>
      </c>
      <c r="B9" s="33">
        <f t="shared" si="0"/>
        <v>668.41</v>
      </c>
      <c r="C9" s="34">
        <f>SUM('Emp5&amp;Emp6'!A33:J33,'Emp5&amp;Emp6'!L33)</f>
        <v>668.41</v>
      </c>
      <c r="D9" s="37">
        <f>'Emp5&amp;Emp6'!K22</f>
        <v>0</v>
      </c>
      <c r="E9" s="35"/>
    </row>
    <row r="10" spans="1:5" x14ac:dyDescent="0.3">
      <c r="A10" s="29" t="str">
        <f>'Emp7&amp;Emp8'!B1</f>
        <v>Mike Mato Jr</v>
      </c>
      <c r="B10" s="33">
        <f t="shared" si="0"/>
        <v>593.41</v>
      </c>
      <c r="C10" s="34">
        <f>SUM('Emp7&amp;Emp8'!A15:J15,'Emp7&amp;Emp8'!L15)</f>
        <v>593.41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1001.79</v>
      </c>
      <c r="C11" s="34">
        <f>SUM('Emp7&amp;Emp8'!A33:J33,'Emp7&amp;Emp8'!L33)</f>
        <v>1001.79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5860.87</v>
      </c>
    </row>
    <row r="30" spans="1:5" x14ac:dyDescent="0.3">
      <c r="A30" s="12" t="s">
        <v>14</v>
      </c>
      <c r="B30" s="32">
        <f>SUM(B28:B29)</f>
        <v>8073.57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B20" sqref="B20"/>
    </sheetView>
  </sheetViews>
  <sheetFormatPr defaultColWidth="8.7109375" defaultRowHeight="16.5" x14ac:dyDescent="0.3"/>
  <cols>
    <col min="1" max="1" width="9.7109375" style="11" customWidth="1"/>
    <col min="2" max="2" width="12.28515625" style="11" customWidth="1"/>
    <col min="3" max="3" width="8.7109375" style="11" customWidth="1"/>
    <col min="4" max="4" width="12.28515625" style="11" customWidth="1"/>
    <col min="5" max="5" width="9.28515625" style="11" customWidth="1"/>
    <col min="6" max="6" width="8.7109375" style="11" customWidth="1"/>
    <col min="7" max="7" width="10.5703125" style="11" customWidth="1"/>
    <col min="8" max="9" width="8.7109375" style="11" customWidth="1"/>
    <col min="10" max="10" width="11.7109375" style="11" customWidth="1"/>
    <col min="11" max="12" width="10.28515625" style="11" customWidth="1"/>
    <col min="13" max="13" width="10.42578125" style="11" customWidth="1"/>
    <col min="14" max="15" width="8.7109375" style="11" customWidth="1"/>
    <col min="16" max="16384" width="8.7109375" style="11"/>
  </cols>
  <sheetData>
    <row r="1" spans="1:13" x14ac:dyDescent="0.3">
      <c r="A1" s="11" t="s">
        <v>15</v>
      </c>
      <c r="B1" t="s">
        <v>16</v>
      </c>
    </row>
    <row r="3" spans="1:13" ht="17.649999999999999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400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/>
      <c r="M5" s="14"/>
    </row>
    <row r="6" spans="1:13" x14ac:dyDescent="0.3">
      <c r="A6" s="15"/>
      <c r="B6" s="15"/>
      <c r="C6" s="14"/>
      <c r="D6" s="14"/>
      <c r="E6" s="12">
        <f>Emp1Record!Z3</f>
        <v>365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196.79000000000002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365</v>
      </c>
      <c r="F15" s="23">
        <f>SUM(F4)</f>
        <v>0</v>
      </c>
      <c r="G15" s="23">
        <f>SUM(G4:G6)</f>
        <v>400</v>
      </c>
      <c r="H15" s="23">
        <f>SUM(H4)</f>
        <v>0</v>
      </c>
      <c r="I15" s="23">
        <f>SUM(I10:I14)</f>
        <v>0</v>
      </c>
      <c r="J15" s="23">
        <f>SUM(J4:J10)</f>
        <v>196.79000000000002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x14ac:dyDescent="0.3">
      <c r="A16" s="19" t="s">
        <v>2</v>
      </c>
      <c r="B16" s="22">
        <f>SUM(A15:M15)</f>
        <v>961.79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366.66999999999996</v>
      </c>
      <c r="G22" s="12">
        <f>Emp2Record!H3</f>
        <v>200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41.67</v>
      </c>
      <c r="D23" s="13">
        <f>Emp2Record!R3</f>
        <v>0</v>
      </c>
      <c r="E23" s="13">
        <f>Emp2Record!P3</f>
        <v>16.670000000000002</v>
      </c>
      <c r="F23" s="14"/>
      <c r="G23" s="12">
        <f>Emp2Record!Q3</f>
        <v>0</v>
      </c>
      <c r="H23" s="14"/>
      <c r="I23" s="12">
        <f>Emp2Record!K3</f>
        <v>0</v>
      </c>
      <c r="J23" s="13">
        <f>Emp2Record!T3</f>
        <v>0</v>
      </c>
      <c r="K23" s="14"/>
      <c r="L23" s="30"/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393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39.300000000000004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0</v>
      </c>
      <c r="B33" s="23">
        <f>B22*'Pay Rates'!B4</f>
        <v>0</v>
      </c>
      <c r="C33" s="23">
        <f>SUM(C22:C23)</f>
        <v>41.67</v>
      </c>
      <c r="D33" s="23">
        <f>SUM(D22:D23)</f>
        <v>0</v>
      </c>
      <c r="E33" s="23">
        <f>SUM(E22:E24)</f>
        <v>16.670000000000002</v>
      </c>
      <c r="F33" s="23">
        <f>SUM(F22)</f>
        <v>366.66999999999996</v>
      </c>
      <c r="G33" s="23">
        <f>SUM(G22:G24)</f>
        <v>200</v>
      </c>
      <c r="H33" s="23">
        <f>SUM(H22)</f>
        <v>0</v>
      </c>
      <c r="I33" s="23">
        <f>SUM(I28:I32)</f>
        <v>39.300000000000004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x14ac:dyDescent="0.3">
      <c r="A34" s="19" t="s">
        <v>2</v>
      </c>
      <c r="B34" s="22">
        <f>SUM(A33:M33)</f>
        <v>664.31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zoomScale="99" workbookViewId="0">
      <selection activeCell="M22" sqref="M22"/>
    </sheetView>
  </sheetViews>
  <sheetFormatPr defaultRowHeight="15" x14ac:dyDescent="0.25"/>
  <cols>
    <col min="2" max="2" width="10.5703125" customWidth="1"/>
    <col min="4" max="4" width="12.28515625" customWidth="1"/>
    <col min="7" max="7" width="9.7109375" customWidth="1"/>
    <col min="9" max="9" width="10.28515625" customWidth="1"/>
    <col min="10" max="10" width="11.71093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6.14999999999999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550</v>
      </c>
      <c r="B4" s="13">
        <f>Emp3Record!C3</f>
        <v>0</v>
      </c>
      <c r="C4" s="12">
        <f>Emp3Record!D3</f>
        <v>0</v>
      </c>
      <c r="D4" s="13">
        <f>Emp3Record!E3</f>
        <v>94.54</v>
      </c>
      <c r="E4" s="12">
        <f>Emp3Record!F3</f>
        <v>60</v>
      </c>
      <c r="F4" s="13">
        <f>Emp3Record!G3</f>
        <v>0</v>
      </c>
      <c r="G4" s="12">
        <f>Emp3Record!H3</f>
        <v>200</v>
      </c>
      <c r="H4" s="12">
        <f>Emp3Record!I3</f>
        <v>116</v>
      </c>
      <c r="I4" s="12">
        <f>Emp3Record!J3</f>
        <v>989</v>
      </c>
      <c r="J4" s="12">
        <f>Emp3Record!S3</f>
        <v>0</v>
      </c>
      <c r="K4" s="13">
        <f>Emp3Record!AB3</f>
        <v>130</v>
      </c>
      <c r="L4" s="39">
        <f>Emp3Record!AC3</f>
        <v>0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0</v>
      </c>
      <c r="D5" s="13">
        <f>Emp3Record!R3</f>
        <v>0</v>
      </c>
      <c r="E5" s="13">
        <f>Emp3Record!P3</f>
        <v>0</v>
      </c>
      <c r="F5" s="14"/>
      <c r="G5" s="12">
        <f>Emp3Record!Q3</f>
        <v>0</v>
      </c>
      <c r="H5" s="14"/>
      <c r="I5" s="12">
        <f>Emp3Record!K3</f>
        <v>0</v>
      </c>
      <c r="J5" s="13">
        <f>Emp3Record!T3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0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79.12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49.5</v>
      </c>
      <c r="B15" s="23">
        <f>B4*'Pay Rates'!B4</f>
        <v>0</v>
      </c>
      <c r="C15" s="23">
        <f>SUM(C4:C5)</f>
        <v>0</v>
      </c>
      <c r="D15" s="23">
        <f>SUM(D4:D5)</f>
        <v>94.54</v>
      </c>
      <c r="E15" s="23">
        <f>SUM(E4:E6)</f>
        <v>60</v>
      </c>
      <c r="F15" s="23">
        <f>SUM(F4)</f>
        <v>0</v>
      </c>
      <c r="G15" s="23">
        <f>SUM(G4:G6)</f>
        <v>200</v>
      </c>
      <c r="H15" s="23">
        <f>SUM(H4)</f>
        <v>116</v>
      </c>
      <c r="I15" s="23">
        <f>SUM(I10:I14)</f>
        <v>79.12</v>
      </c>
      <c r="J15" s="23">
        <f>SUM(J4:J10)</f>
        <v>0</v>
      </c>
      <c r="K15" s="23">
        <f>SUM(K4)</f>
        <v>130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729.16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6.14999999999999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626</v>
      </c>
      <c r="B22" s="13">
        <f>Emp4Record!C3</f>
        <v>0</v>
      </c>
      <c r="C22" s="12">
        <f>Emp4Record!D3</f>
        <v>0</v>
      </c>
      <c r="D22" s="13">
        <f>Emp4Record!E3</f>
        <v>94.54</v>
      </c>
      <c r="E22" s="12">
        <f>Emp4Record!F3</f>
        <v>75</v>
      </c>
      <c r="F22" s="13">
        <f>Emp4Record!G3</f>
        <v>0</v>
      </c>
      <c r="G22" s="12">
        <f>Emp4Record!H3</f>
        <v>200</v>
      </c>
      <c r="H22" s="12">
        <f>Emp4Record!I3</f>
        <v>116</v>
      </c>
      <c r="I22" s="12">
        <f>Emp4Record!J3</f>
        <v>989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0</v>
      </c>
      <c r="D23" s="13">
        <f>Emp4Record!R3</f>
        <v>0</v>
      </c>
      <c r="E23" s="13">
        <f>Emp4Record!P3</f>
        <v>0</v>
      </c>
      <c r="F23" s="14"/>
      <c r="G23" s="12">
        <f>Emp4Record!Q3</f>
        <v>0</v>
      </c>
      <c r="H23" s="14"/>
      <c r="I23" s="12">
        <f>Emp4Record!K3</f>
        <v>0</v>
      </c>
      <c r="J23" s="13">
        <f>Emp4Record!T3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0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79.12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56.339999999999996</v>
      </c>
      <c r="B33" s="23">
        <f>B22*'Pay Rates'!B4</f>
        <v>0</v>
      </c>
      <c r="C33" s="23">
        <f>SUM(C22:C23)</f>
        <v>0</v>
      </c>
      <c r="D33" s="23">
        <f>SUM(D22:D23)</f>
        <v>94.54</v>
      </c>
      <c r="E33" s="23">
        <f>SUM(E22:E24)</f>
        <v>75</v>
      </c>
      <c r="F33" s="23">
        <f>SUM(F22)</f>
        <v>0</v>
      </c>
      <c r="G33" s="23">
        <f>SUM(G22:G24)</f>
        <v>200</v>
      </c>
      <c r="H33" s="23">
        <f>SUM(H22)</f>
        <v>116</v>
      </c>
      <c r="I33" s="23">
        <f>SUM(I28:I32)</f>
        <v>79.12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621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4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626</v>
      </c>
      <c r="B4" s="13">
        <f>Emp5Record!C3</f>
        <v>0</v>
      </c>
      <c r="C4" s="12">
        <f>Emp5Record!D3</f>
        <v>0</v>
      </c>
      <c r="D4" s="13">
        <f>Emp5Record!E3</f>
        <v>94.54</v>
      </c>
      <c r="E4" s="12">
        <f>Emp5Record!F3</f>
        <v>75</v>
      </c>
      <c r="F4" s="13">
        <f>Emp5Record!G3</f>
        <v>0</v>
      </c>
      <c r="G4" s="12">
        <f>Emp5Record!H3</f>
        <v>200</v>
      </c>
      <c r="H4" s="12">
        <f>Emp5Record!I3</f>
        <v>116</v>
      </c>
      <c r="I4" s="12">
        <f>Emp5Record!J3</f>
        <v>989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0</v>
      </c>
      <c r="D5" s="13">
        <f>Emp5Record!R3</f>
        <v>0</v>
      </c>
      <c r="E5" s="13">
        <f>Emp5Record!P3</f>
        <v>0</v>
      </c>
      <c r="F5" s="14"/>
      <c r="G5" s="12">
        <f>Emp5Record!Q3</f>
        <v>0</v>
      </c>
      <c r="H5" s="14"/>
      <c r="I5" s="12">
        <f>Emp5Record!K3</f>
        <v>0</v>
      </c>
      <c r="J5" s="13">
        <f>Emp5Record!T3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0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79.12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56.339999999999996</v>
      </c>
      <c r="B15" s="23">
        <f>B4*'Pay Rates'!B4</f>
        <v>0</v>
      </c>
      <c r="C15" s="23">
        <f>SUM(C4:C5)</f>
        <v>0</v>
      </c>
      <c r="D15" s="23">
        <f>SUM(D4:D5)</f>
        <v>94.54</v>
      </c>
      <c r="E15" s="23">
        <f>SUM(E4:E6)</f>
        <v>75</v>
      </c>
      <c r="F15" s="23">
        <f>SUM(F4)</f>
        <v>0</v>
      </c>
      <c r="G15" s="23">
        <f>SUM(G4:G6)</f>
        <v>200</v>
      </c>
      <c r="H15" s="23">
        <f>SUM(H4)</f>
        <v>116</v>
      </c>
      <c r="I15" s="23">
        <f>SUM(I10:I14)</f>
        <v>79.12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621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366.66999999999996</v>
      </c>
      <c r="G22" s="12">
        <f>Emp6Record!H3</f>
        <v>0</v>
      </c>
      <c r="H22" s="12">
        <f>Emp6Record!I3</f>
        <v>0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125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41.67</v>
      </c>
      <c r="D23" s="13">
        <f>Emp6Record!R3</f>
        <v>0</v>
      </c>
      <c r="E23" s="13">
        <f>Emp6Record!P3</f>
        <v>16.670000000000002</v>
      </c>
      <c r="F23" s="14"/>
      <c r="G23" s="12">
        <f>Emp6Record!Q3</f>
        <v>0</v>
      </c>
      <c r="H23" s="14"/>
      <c r="I23" s="12">
        <f>Emp6Record!K3</f>
        <v>0</v>
      </c>
      <c r="J23" s="13">
        <f>Emp6Record!T3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1184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118.4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41.67</v>
      </c>
      <c r="D33" s="23">
        <f>SUM(D22:D23)</f>
        <v>0</v>
      </c>
      <c r="E33" s="23">
        <f>SUM(E22:E24)</f>
        <v>16.670000000000002</v>
      </c>
      <c r="F33" s="23">
        <f>SUM(F22)</f>
        <v>366.66999999999996</v>
      </c>
      <c r="G33" s="23">
        <f>SUM(G22:G24)</f>
        <v>0</v>
      </c>
      <c r="H33" s="23">
        <f>SUM(H22)</f>
        <v>0</v>
      </c>
      <c r="I33" s="23">
        <f>SUM(I28:I32)</f>
        <v>118.4</v>
      </c>
      <c r="J33" s="23">
        <f>SUM(J22:J28)</f>
        <v>0</v>
      </c>
      <c r="K33" s="23">
        <f>SUM(K22)</f>
        <v>0</v>
      </c>
      <c r="L33" s="23">
        <f>SUM(L22:L32)</f>
        <v>125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668.41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topLeftCell="A14" zoomScale="102" workbookViewId="0">
      <selection activeCell="L23" sqref="L23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0</v>
      </c>
      <c r="E4" s="12">
        <f>Emp7Record!F3</f>
        <v>0</v>
      </c>
      <c r="F4" s="13">
        <f>Emp7Record!G3</f>
        <v>366.66999999999996</v>
      </c>
      <c r="G4" s="12">
        <f>Emp7Record!H3</f>
        <v>0</v>
      </c>
      <c r="H4" s="12">
        <f>Emp7Record!I3</f>
        <v>0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50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41.67</v>
      </c>
      <c r="D5" s="13">
        <f>Emp7Record!R3</f>
        <v>0</v>
      </c>
      <c r="E5" s="13">
        <f>Emp7Record!P3</f>
        <v>16.670000000000002</v>
      </c>
      <c r="F5" s="14"/>
      <c r="G5" s="12">
        <f>Emp7Record!Q3</f>
        <v>0</v>
      </c>
      <c r="H5" s="14"/>
      <c r="I5" s="12">
        <f>Emp7Record!K3</f>
        <v>0</v>
      </c>
      <c r="J5" s="13">
        <f>Emp7Record!T3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1184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118.4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41.67</v>
      </c>
      <c r="D15" s="23">
        <f>SUM(D4:D5)</f>
        <v>0</v>
      </c>
      <c r="E15" s="23">
        <f>SUM(E4:E6)</f>
        <v>16.670000000000002</v>
      </c>
      <c r="F15" s="23">
        <f>SUM(F4)</f>
        <v>366.66999999999996</v>
      </c>
      <c r="G15" s="23">
        <f>SUM(G4:G6)</f>
        <v>0</v>
      </c>
      <c r="H15" s="23">
        <f>SUM(H4)</f>
        <v>0</v>
      </c>
      <c r="I15" s="23">
        <f>SUM(I10:I14)</f>
        <v>118.4</v>
      </c>
      <c r="J15" s="23">
        <f>SUM(J4:J10)</f>
        <v>0</v>
      </c>
      <c r="K15" s="23">
        <f>SUM(K4)</f>
        <v>0</v>
      </c>
      <c r="L15" s="23">
        <f>SUM(L4:L14)</f>
        <v>50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593.41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400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>
        <v>40</v>
      </c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365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196.79000000000002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365</v>
      </c>
      <c r="F33" s="23">
        <f>SUM(F22)</f>
        <v>0</v>
      </c>
      <c r="G33" s="23">
        <f>SUM(G22:G24)</f>
        <v>400</v>
      </c>
      <c r="H33" s="23">
        <f>SUM(H22)</f>
        <v>0</v>
      </c>
      <c r="I33" s="23">
        <f>SUM(I28:I32)</f>
        <v>0</v>
      </c>
      <c r="J33" s="23">
        <f>SUM(J22:J28)</f>
        <v>196.79000000000002</v>
      </c>
      <c r="K33" s="23">
        <f>SUM(K22)</f>
        <v>0</v>
      </c>
      <c r="L33" s="23">
        <f>SUM(L22:L32)</f>
        <v>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1001.79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"/>
  <sheetViews>
    <sheetView zoomScaleNormal="70" workbookViewId="0">
      <selection activeCell="A7" sqref="A7"/>
    </sheetView>
  </sheetViews>
  <sheetFormatPr defaultRowHeight="15" x14ac:dyDescent="0.25"/>
  <cols>
    <col min="1" max="1" width="25.7109375" customWidth="1"/>
    <col min="2" max="2" width="13.28515625" customWidth="1"/>
    <col min="3" max="3" width="12.28515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7109375" customWidth="1"/>
    <col min="27" max="27" width="10.5703125" customWidth="1"/>
  </cols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6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400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196.79000000000002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365</v>
      </c>
      <c r="AA3" s="4">
        <f t="shared" si="0"/>
        <v>0</v>
      </c>
      <c r="AB3" s="41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100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78.319999999999993</v>
      </c>
      <c r="V8">
        <v>0</v>
      </c>
      <c r="W8">
        <v>0</v>
      </c>
      <c r="X8">
        <v>0</v>
      </c>
      <c r="Y8">
        <v>0</v>
      </c>
      <c r="Z8">
        <v>75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90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42.68</v>
      </c>
      <c r="V10">
        <v>0</v>
      </c>
      <c r="W10">
        <v>0</v>
      </c>
      <c r="X10">
        <v>0</v>
      </c>
      <c r="Y10">
        <v>0</v>
      </c>
      <c r="Z10">
        <v>50</v>
      </c>
      <c r="AA10">
        <v>0</v>
      </c>
      <c r="AB10">
        <v>0</v>
      </c>
      <c r="AC10">
        <v>0</v>
      </c>
    </row>
    <row r="11" spans="1:29" x14ac:dyDescent="0.25">
      <c r="A11" t="s">
        <v>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75.790000000000006</v>
      </c>
      <c r="V12">
        <v>0</v>
      </c>
      <c r="W12">
        <v>0</v>
      </c>
      <c r="X12">
        <v>0</v>
      </c>
      <c r="Y12">
        <v>0</v>
      </c>
      <c r="Z12">
        <v>50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0"/>
  <sheetViews>
    <sheetView topLeftCell="B1" workbookViewId="0">
      <selection activeCell="B3" sqref="B3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366.66999999999996</v>
      </c>
      <c r="H3" s="4">
        <f t="shared" si="0"/>
        <v>200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393</v>
      </c>
      <c r="M3" s="4">
        <f t="shared" si="0"/>
        <v>0</v>
      </c>
      <c r="N3" s="4">
        <f t="shared" si="0"/>
        <v>0</v>
      </c>
      <c r="O3" s="4">
        <f t="shared" si="0"/>
        <v>41.67</v>
      </c>
      <c r="P3" s="4">
        <f t="shared" si="0"/>
        <v>16.670000000000002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67</v>
      </c>
      <c r="B7">
        <v>0</v>
      </c>
      <c r="C7">
        <v>0</v>
      </c>
      <c r="D7">
        <v>0</v>
      </c>
      <c r="E7">
        <v>0</v>
      </c>
      <c r="F7">
        <v>0</v>
      </c>
      <c r="G7">
        <v>166.67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68</v>
      </c>
      <c r="B8">
        <v>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393</v>
      </c>
      <c r="M9">
        <v>0</v>
      </c>
      <c r="N9">
        <v>0</v>
      </c>
      <c r="O9">
        <v>41.67</v>
      </c>
      <c r="P9">
        <v>16.670000000000002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200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550</v>
      </c>
      <c r="C3" s="4">
        <f t="shared" si="0"/>
        <v>0</v>
      </c>
      <c r="D3" s="4">
        <f t="shared" si="0"/>
        <v>0</v>
      </c>
      <c r="E3" s="4">
        <f t="shared" si="0"/>
        <v>94.54</v>
      </c>
      <c r="F3" s="4">
        <f t="shared" si="0"/>
        <v>60</v>
      </c>
      <c r="G3" s="4">
        <f t="shared" si="0"/>
        <v>0</v>
      </c>
      <c r="H3" s="4">
        <f t="shared" si="0"/>
        <v>200</v>
      </c>
      <c r="I3" s="4">
        <f t="shared" si="0"/>
        <v>116</v>
      </c>
      <c r="J3" s="4">
        <f t="shared" si="0"/>
        <v>989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130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70</v>
      </c>
      <c r="B7">
        <v>93</v>
      </c>
      <c r="C7">
        <v>0</v>
      </c>
      <c r="D7">
        <v>0</v>
      </c>
      <c r="E7">
        <v>0</v>
      </c>
      <c r="F7">
        <v>26.67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71</v>
      </c>
      <c r="B8">
        <v>0</v>
      </c>
      <c r="C8">
        <v>0</v>
      </c>
      <c r="D8">
        <v>0</v>
      </c>
      <c r="E8">
        <v>73.540000000000006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72</v>
      </c>
      <c r="B9">
        <v>457</v>
      </c>
      <c r="C9">
        <v>0</v>
      </c>
      <c r="D9">
        <v>0</v>
      </c>
      <c r="E9">
        <v>21</v>
      </c>
      <c r="F9">
        <v>33.33</v>
      </c>
      <c r="G9">
        <v>0</v>
      </c>
      <c r="H9">
        <v>0</v>
      </c>
      <c r="I9">
        <v>116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130</v>
      </c>
      <c r="AC11">
        <v>0</v>
      </c>
    </row>
    <row r="12" spans="1:29" x14ac:dyDescent="0.25">
      <c r="A12" t="s">
        <v>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626</v>
      </c>
      <c r="C3" s="4">
        <f t="shared" si="0"/>
        <v>0</v>
      </c>
      <c r="D3" s="4">
        <f t="shared" si="0"/>
        <v>0</v>
      </c>
      <c r="E3" s="4">
        <f t="shared" si="0"/>
        <v>94.54</v>
      </c>
      <c r="F3" s="4">
        <f t="shared" si="0"/>
        <v>75</v>
      </c>
      <c r="G3" s="4">
        <f t="shared" si="0"/>
        <v>0</v>
      </c>
      <c r="H3" s="4">
        <f t="shared" si="0"/>
        <v>200</v>
      </c>
      <c r="I3" s="4">
        <f t="shared" si="0"/>
        <v>116</v>
      </c>
      <c r="J3" s="4">
        <f t="shared" si="0"/>
        <v>989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75</v>
      </c>
      <c r="B7">
        <v>76</v>
      </c>
      <c r="C7">
        <v>0</v>
      </c>
      <c r="D7">
        <v>0</v>
      </c>
      <c r="E7">
        <v>0</v>
      </c>
      <c r="F7">
        <v>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70</v>
      </c>
      <c r="B8">
        <v>93</v>
      </c>
      <c r="C8">
        <v>0</v>
      </c>
      <c r="D8">
        <v>0</v>
      </c>
      <c r="E8">
        <v>0</v>
      </c>
      <c r="F8">
        <v>26.67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71</v>
      </c>
      <c r="B9">
        <v>0</v>
      </c>
      <c r="C9">
        <v>0</v>
      </c>
      <c r="D9">
        <v>0</v>
      </c>
      <c r="E9">
        <v>73.540000000000006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72</v>
      </c>
      <c r="B10">
        <v>457</v>
      </c>
      <c r="C10">
        <v>0</v>
      </c>
      <c r="D10">
        <v>0</v>
      </c>
      <c r="E10">
        <v>21</v>
      </c>
      <c r="F10">
        <v>33.33</v>
      </c>
      <c r="G10">
        <v>0</v>
      </c>
      <c r="H10">
        <v>0</v>
      </c>
      <c r="I10">
        <v>116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989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626</v>
      </c>
      <c r="C3" s="4">
        <f t="shared" si="0"/>
        <v>0</v>
      </c>
      <c r="D3" s="4">
        <f t="shared" si="0"/>
        <v>0</v>
      </c>
      <c r="E3" s="4">
        <f t="shared" si="0"/>
        <v>94.54</v>
      </c>
      <c r="F3" s="4">
        <f t="shared" si="0"/>
        <v>75</v>
      </c>
      <c r="G3" s="4">
        <f t="shared" si="0"/>
        <v>0</v>
      </c>
      <c r="H3" s="4">
        <f t="shared" si="0"/>
        <v>200</v>
      </c>
      <c r="I3" s="4">
        <f t="shared" si="0"/>
        <v>116</v>
      </c>
      <c r="J3" s="4">
        <f t="shared" si="0"/>
        <v>989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75</v>
      </c>
      <c r="B7">
        <v>76</v>
      </c>
      <c r="C7">
        <v>0</v>
      </c>
      <c r="D7">
        <v>0</v>
      </c>
      <c r="E7">
        <v>0</v>
      </c>
      <c r="F7">
        <v>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70</v>
      </c>
      <c r="B8">
        <v>93</v>
      </c>
      <c r="C8">
        <v>0</v>
      </c>
      <c r="D8">
        <v>0</v>
      </c>
      <c r="E8">
        <v>0</v>
      </c>
      <c r="F8">
        <v>26.67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71</v>
      </c>
      <c r="B9">
        <v>0</v>
      </c>
      <c r="C9">
        <v>0</v>
      </c>
      <c r="D9">
        <v>0</v>
      </c>
      <c r="E9">
        <v>73.540000000000006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72</v>
      </c>
      <c r="B10">
        <v>457</v>
      </c>
      <c r="C10">
        <v>0</v>
      </c>
      <c r="D10">
        <v>0</v>
      </c>
      <c r="E10">
        <v>21</v>
      </c>
      <c r="F10">
        <v>33.33</v>
      </c>
      <c r="G10">
        <v>0</v>
      </c>
      <c r="H10">
        <v>0</v>
      </c>
      <c r="I10">
        <v>116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989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76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366.66999999999996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1184</v>
      </c>
      <c r="M3" s="4">
        <f t="shared" si="0"/>
        <v>0</v>
      </c>
      <c r="N3" s="4">
        <f t="shared" si="0"/>
        <v>0</v>
      </c>
      <c r="O3" s="4">
        <f t="shared" si="0"/>
        <v>41.67</v>
      </c>
      <c r="P3" s="4">
        <f t="shared" si="0"/>
        <v>16.670000000000002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125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67</v>
      </c>
      <c r="B7">
        <v>0</v>
      </c>
      <c r="C7">
        <v>0</v>
      </c>
      <c r="D7">
        <v>0</v>
      </c>
      <c r="E7">
        <v>0</v>
      </c>
      <c r="F7">
        <v>0</v>
      </c>
      <c r="G7">
        <v>166.67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68</v>
      </c>
      <c r="B8">
        <v>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393</v>
      </c>
      <c r="M9">
        <v>0</v>
      </c>
      <c r="N9">
        <v>0</v>
      </c>
      <c r="O9">
        <v>41.67</v>
      </c>
      <c r="P9">
        <v>16.670000000000002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791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125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366.66999999999996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1184</v>
      </c>
      <c r="M3" s="4">
        <f t="shared" si="0"/>
        <v>0</v>
      </c>
      <c r="N3" s="4">
        <f t="shared" si="0"/>
        <v>0</v>
      </c>
      <c r="O3" s="4">
        <f t="shared" si="0"/>
        <v>41.67</v>
      </c>
      <c r="P3" s="4">
        <f t="shared" si="0"/>
        <v>16.670000000000002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50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67</v>
      </c>
      <c r="B7">
        <v>0</v>
      </c>
      <c r="C7">
        <v>0</v>
      </c>
      <c r="D7">
        <v>0</v>
      </c>
      <c r="E7">
        <v>0</v>
      </c>
      <c r="F7">
        <v>0</v>
      </c>
      <c r="G7">
        <v>166.67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68</v>
      </c>
      <c r="B8">
        <v>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393</v>
      </c>
      <c r="M9">
        <v>0</v>
      </c>
      <c r="N9">
        <v>0</v>
      </c>
      <c r="O9">
        <v>41.67</v>
      </c>
      <c r="P9">
        <v>16.670000000000002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791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400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196.79000000000002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365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100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78.319999999999993</v>
      </c>
      <c r="V8">
        <v>0</v>
      </c>
      <c r="W8">
        <v>0</v>
      </c>
      <c r="X8">
        <v>0</v>
      </c>
      <c r="Y8">
        <v>0</v>
      </c>
      <c r="Z8">
        <v>75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90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42.68</v>
      </c>
      <c r="V10">
        <v>0</v>
      </c>
      <c r="W10">
        <v>0</v>
      </c>
      <c r="X10">
        <v>0</v>
      </c>
      <c r="Y10">
        <v>0</v>
      </c>
      <c r="Z10">
        <v>50</v>
      </c>
      <c r="AA10">
        <v>0</v>
      </c>
      <c r="AB10">
        <v>0</v>
      </c>
      <c r="AC10">
        <v>0</v>
      </c>
    </row>
    <row r="11" spans="1:29" x14ac:dyDescent="0.25">
      <c r="A11" t="s">
        <v>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75.790000000000006</v>
      </c>
      <c r="V12">
        <v>0</v>
      </c>
      <c r="W12">
        <v>0</v>
      </c>
      <c r="X12">
        <v>0</v>
      </c>
      <c r="Y12">
        <v>0</v>
      </c>
      <c r="Z12">
        <v>50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7109375" defaultRowHeight="16.5" x14ac:dyDescent="0.3"/>
  <cols>
    <col min="1" max="1" width="21.28515625" style="11" customWidth="1"/>
    <col min="2" max="2" width="16.28515625" style="11" customWidth="1"/>
    <col min="3" max="4" width="8.7109375" style="11" customWidth="1"/>
    <col min="5" max="16384" width="8.7109375" style="11"/>
  </cols>
  <sheetData>
    <row r="1" spans="1:2" x14ac:dyDescent="0.3">
      <c r="A1" s="24" t="s">
        <v>78</v>
      </c>
    </row>
    <row r="2" spans="1:2" x14ac:dyDescent="0.3">
      <c r="A2" s="25" t="s">
        <v>79</v>
      </c>
      <c r="B2" s="25" t="s">
        <v>80</v>
      </c>
    </row>
    <row r="3" spans="1:2" x14ac:dyDescent="0.3">
      <c r="A3" s="26" t="s">
        <v>81</v>
      </c>
      <c r="B3" s="27">
        <v>0.09</v>
      </c>
    </row>
    <row r="4" spans="1:2" x14ac:dyDescent="0.3">
      <c r="A4" s="26" t="s">
        <v>82</v>
      </c>
      <c r="B4" s="27">
        <v>0.1</v>
      </c>
    </row>
    <row r="5" spans="1:2" x14ac:dyDescent="0.3">
      <c r="A5" s="26" t="s">
        <v>83</v>
      </c>
      <c r="B5" s="27">
        <v>2.5</v>
      </c>
    </row>
    <row r="6" spans="1:2" x14ac:dyDescent="0.3">
      <c r="A6" s="26" t="s">
        <v>84</v>
      </c>
      <c r="B6" s="27">
        <v>0.2</v>
      </c>
    </row>
    <row r="7" spans="1:2" x14ac:dyDescent="0.3">
      <c r="A7" s="26" t="s">
        <v>85</v>
      </c>
      <c r="B7" s="27">
        <v>0.06</v>
      </c>
    </row>
    <row r="8" spans="1:2" x14ac:dyDescent="0.3">
      <c r="A8" s="26" t="s">
        <v>86</v>
      </c>
      <c r="B8" s="27">
        <v>0.06</v>
      </c>
    </row>
    <row r="9" spans="1:2" x14ac:dyDescent="0.3">
      <c r="A9" s="26" t="s">
        <v>87</v>
      </c>
      <c r="B9" s="27">
        <v>0.08</v>
      </c>
    </row>
    <row r="10" spans="1:2" x14ac:dyDescent="0.3">
      <c r="A10" s="26" t="s">
        <v>88</v>
      </c>
      <c r="B10" s="27">
        <v>0.08</v>
      </c>
    </row>
    <row r="11" spans="1:2" x14ac:dyDescent="0.3">
      <c r="A11" s="26" t="s">
        <v>89</v>
      </c>
      <c r="B11" s="27">
        <v>0.09</v>
      </c>
    </row>
    <row r="12" spans="1:2" x14ac:dyDescent="0.3">
      <c r="A12" s="26" t="s">
        <v>90</v>
      </c>
      <c r="B12" s="27">
        <v>0.1</v>
      </c>
    </row>
    <row r="13" spans="1:2" x14ac:dyDescent="0.3">
      <c r="A13" s="26" t="s">
        <v>91</v>
      </c>
      <c r="B13" s="27">
        <v>0.11</v>
      </c>
    </row>
    <row r="14" spans="1:2" x14ac:dyDescent="0.3">
      <c r="A14" s="26" t="s">
        <v>92</v>
      </c>
      <c r="B14" s="27">
        <v>0.1</v>
      </c>
    </row>
    <row r="15" spans="1:2" x14ac:dyDescent="0.3">
      <c r="A15" s="26" t="s">
        <v>93</v>
      </c>
      <c r="B15" s="27">
        <v>0.22</v>
      </c>
    </row>
    <row r="16" spans="1:2" x14ac:dyDescent="0.3">
      <c r="A16" s="26" t="s">
        <v>94</v>
      </c>
      <c r="B16" s="27">
        <v>0.22</v>
      </c>
    </row>
    <row r="17" spans="1:2" x14ac:dyDescent="0.3">
      <c r="A17" s="26" t="s">
        <v>95</v>
      </c>
      <c r="B17" s="27">
        <v>0.33</v>
      </c>
    </row>
    <row r="18" spans="1:2" x14ac:dyDescent="0.3">
      <c r="A18" s="26" t="s">
        <v>96</v>
      </c>
      <c r="B18" s="27">
        <v>0.2</v>
      </c>
    </row>
    <row r="19" spans="1:2" x14ac:dyDescent="0.3">
      <c r="A19" s="26" t="s">
        <v>97</v>
      </c>
      <c r="B19" s="27">
        <v>0.22</v>
      </c>
    </row>
    <row r="20" spans="1:2" x14ac:dyDescent="0.3">
      <c r="A20" s="26" t="s">
        <v>83</v>
      </c>
      <c r="B20" s="27">
        <v>2.5</v>
      </c>
    </row>
    <row r="21" spans="1:2" x14ac:dyDescent="0.3">
      <c r="A21" s="26" t="s">
        <v>98</v>
      </c>
      <c r="B21" s="27">
        <v>130</v>
      </c>
    </row>
    <row r="22" spans="1:2" x14ac:dyDescent="0.3">
      <c r="A22" t="s">
        <v>99</v>
      </c>
      <c r="B22">
        <v>0.15</v>
      </c>
    </row>
    <row r="23" spans="1:2" x14ac:dyDescent="0.3">
      <c r="A23" t="s">
        <v>100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Michael Frank</cp:lastModifiedBy>
  <cp:lastPrinted>2023-01-26T00:09:34Z</cp:lastPrinted>
  <dcterms:created xsi:type="dcterms:W3CDTF">2022-11-20T15:26:13Z</dcterms:created>
  <dcterms:modified xsi:type="dcterms:W3CDTF">2026-04-16T17:07:17Z</dcterms:modified>
</cp:coreProperties>
</file>