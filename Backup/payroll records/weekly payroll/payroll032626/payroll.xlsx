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Kenny-pc\d\Insulpro\temp\weekly payroll\"/>
    </mc:Choice>
  </mc:AlternateContent>
  <xr:revisionPtr revIDLastSave="0" documentId="13_ncr:1_{274298CD-C943-41DF-ABB0-CE006C4166DC}" xr6:coauthVersionLast="47" xr6:coauthVersionMax="47" xr10:uidLastSave="{00000000-0000-0000-0000-000000000000}"/>
  <bookViews>
    <workbookView xWindow="-108" yWindow="-108" windowWidth="23256" windowHeight="12456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24" l="1"/>
  <c r="AB3" i="24"/>
  <c r="AA3" i="24"/>
  <c r="Z3" i="24"/>
  <c r="E6" i="9" s="1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L22" i="8" s="1"/>
  <c r="L33" i="8" s="1"/>
  <c r="AB3" i="23"/>
  <c r="AA3" i="23"/>
  <c r="Z3" i="23"/>
  <c r="Y3" i="23"/>
  <c r="X3" i="23"/>
  <c r="W3" i="23"/>
  <c r="V3" i="23"/>
  <c r="U3" i="23"/>
  <c r="T3" i="23"/>
  <c r="S3" i="23"/>
  <c r="J22" i="8" s="1"/>
  <c r="J33" i="8" s="1"/>
  <c r="R3" i="23"/>
  <c r="Q3" i="23"/>
  <c r="P3" i="23"/>
  <c r="O3" i="23"/>
  <c r="N3" i="23"/>
  <c r="I26" i="8" s="1"/>
  <c r="I32" i="8" s="1"/>
  <c r="M3" i="23"/>
  <c r="L3" i="23"/>
  <c r="K3" i="23"/>
  <c r="I23" i="8" s="1"/>
  <c r="I29" i="8" s="1"/>
  <c r="J3" i="23"/>
  <c r="I3" i="23"/>
  <c r="H3" i="23"/>
  <c r="G3" i="23"/>
  <c r="F3" i="23"/>
  <c r="E3" i="23"/>
  <c r="D22" i="8" s="1"/>
  <c r="D33" i="8" s="1"/>
  <c r="D3" i="23"/>
  <c r="C3" i="23"/>
  <c r="B22" i="8" s="1"/>
  <c r="B33" i="8" s="1"/>
  <c r="B3" i="23"/>
  <c r="AC3" i="22"/>
  <c r="AB3" i="22"/>
  <c r="AA3" i="22"/>
  <c r="Z3" i="22"/>
  <c r="E6" i="8" s="1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W3" i="21"/>
  <c r="V3" i="21"/>
  <c r="U3" i="21"/>
  <c r="T3" i="21"/>
  <c r="S3" i="21"/>
  <c r="J22" i="7" s="1"/>
  <c r="J33" i="7" s="1"/>
  <c r="R3" i="21"/>
  <c r="Q3" i="21"/>
  <c r="P3" i="21"/>
  <c r="O3" i="21"/>
  <c r="N3" i="21"/>
  <c r="I26" i="7" s="1"/>
  <c r="I32" i="7" s="1"/>
  <c r="M3" i="21"/>
  <c r="L3" i="21"/>
  <c r="K3" i="21"/>
  <c r="I23" i="7" s="1"/>
  <c r="I29" i="7" s="1"/>
  <c r="I33" i="7" s="1"/>
  <c r="J3" i="21"/>
  <c r="I3" i="21"/>
  <c r="H3" i="21"/>
  <c r="G3" i="21"/>
  <c r="F3" i="21"/>
  <c r="E3" i="21"/>
  <c r="D3" i="21"/>
  <c r="C3" i="21"/>
  <c r="B22" i="7" s="1"/>
  <c r="B33" i="7" s="1"/>
  <c r="B3" i="21"/>
  <c r="AC3" i="20"/>
  <c r="AB3" i="20"/>
  <c r="AA3" i="20"/>
  <c r="Z3" i="20"/>
  <c r="E6" i="7" s="1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W3" i="19"/>
  <c r="V3" i="19"/>
  <c r="U3" i="19"/>
  <c r="T3" i="19"/>
  <c r="S3" i="19"/>
  <c r="J22" i="6" s="1"/>
  <c r="J33" i="6" s="1"/>
  <c r="R3" i="19"/>
  <c r="Q3" i="19"/>
  <c r="P3" i="19"/>
  <c r="O3" i="19"/>
  <c r="N3" i="19"/>
  <c r="I26" i="6" s="1"/>
  <c r="I32" i="6" s="1"/>
  <c r="M3" i="19"/>
  <c r="L3" i="19"/>
  <c r="K3" i="19"/>
  <c r="I23" i="6" s="1"/>
  <c r="I29" i="6" s="1"/>
  <c r="I33" i="6" s="1"/>
  <c r="J3" i="19"/>
  <c r="I3" i="19"/>
  <c r="H3" i="19"/>
  <c r="G3" i="19"/>
  <c r="F3" i="19"/>
  <c r="E3" i="19"/>
  <c r="D3" i="19"/>
  <c r="C3" i="19"/>
  <c r="B22" i="6" s="1"/>
  <c r="B33" i="6" s="1"/>
  <c r="B3" i="19"/>
  <c r="AC3" i="18"/>
  <c r="AB3" i="18"/>
  <c r="AA3" i="18"/>
  <c r="Z3" i="18"/>
  <c r="E6" i="6" s="1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W3" i="17"/>
  <c r="V3" i="17"/>
  <c r="U3" i="17"/>
  <c r="T3" i="17"/>
  <c r="S3" i="17"/>
  <c r="J22" i="5" s="1"/>
  <c r="J33" i="5" s="1"/>
  <c r="R3" i="17"/>
  <c r="Q3" i="17"/>
  <c r="P3" i="17"/>
  <c r="O3" i="17"/>
  <c r="N3" i="17"/>
  <c r="I26" i="5" s="1"/>
  <c r="I32" i="5" s="1"/>
  <c r="M3" i="17"/>
  <c r="L3" i="17"/>
  <c r="K3" i="17"/>
  <c r="I23" i="5" s="1"/>
  <c r="I29" i="5" s="1"/>
  <c r="I33" i="5" s="1"/>
  <c r="J3" i="17"/>
  <c r="I3" i="17"/>
  <c r="H3" i="17"/>
  <c r="G3" i="17"/>
  <c r="F3" i="17"/>
  <c r="E3" i="17"/>
  <c r="D3" i="17"/>
  <c r="C3" i="17"/>
  <c r="B22" i="5" s="1"/>
  <c r="B33" i="5" s="1"/>
  <c r="B3" i="17"/>
  <c r="AC3" i="16"/>
  <c r="AB3" i="16"/>
  <c r="AA3" i="16"/>
  <c r="Z3" i="16"/>
  <c r="E6" i="5" s="1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W3" i="15"/>
  <c r="V3" i="15"/>
  <c r="U3" i="15"/>
  <c r="T3" i="15"/>
  <c r="S3" i="15"/>
  <c r="J22" i="4" s="1"/>
  <c r="J33" i="4" s="1"/>
  <c r="R3" i="15"/>
  <c r="Q3" i="15"/>
  <c r="P3" i="15"/>
  <c r="O3" i="15"/>
  <c r="N3" i="15"/>
  <c r="I26" i="4" s="1"/>
  <c r="I32" i="4" s="1"/>
  <c r="M3" i="15"/>
  <c r="L3" i="15"/>
  <c r="K3" i="15"/>
  <c r="I23" i="4" s="1"/>
  <c r="I29" i="4" s="1"/>
  <c r="I33" i="4" s="1"/>
  <c r="J3" i="15"/>
  <c r="I3" i="15"/>
  <c r="H3" i="15"/>
  <c r="G3" i="15"/>
  <c r="F3" i="15"/>
  <c r="E3" i="15"/>
  <c r="D3" i="15"/>
  <c r="C3" i="15"/>
  <c r="B22" i="4" s="1"/>
  <c r="B33" i="4" s="1"/>
  <c r="B3" i="15"/>
  <c r="AC3" i="14"/>
  <c r="AB3" i="14"/>
  <c r="AA3" i="14"/>
  <c r="Z3" i="14"/>
  <c r="E6" i="4" s="1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J22" i="3" s="1"/>
  <c r="J33" i="3" s="1"/>
  <c r="R3" i="13"/>
  <c r="Q3" i="13"/>
  <c r="P3" i="13"/>
  <c r="O3" i="13"/>
  <c r="N3" i="13"/>
  <c r="I26" i="3" s="1"/>
  <c r="I32" i="3" s="1"/>
  <c r="M3" i="13"/>
  <c r="L3" i="13"/>
  <c r="K3" i="13"/>
  <c r="I23" i="3" s="1"/>
  <c r="I29" i="3" s="1"/>
  <c r="I33" i="3" s="1"/>
  <c r="J3" i="13"/>
  <c r="I3" i="13"/>
  <c r="H3" i="13"/>
  <c r="G3" i="13"/>
  <c r="F3" i="13"/>
  <c r="E3" i="13"/>
  <c r="D3" i="13"/>
  <c r="C3" i="13"/>
  <c r="B22" i="3" s="1"/>
  <c r="B33" i="3" s="1"/>
  <c r="B3" i="13"/>
  <c r="AC3" i="12"/>
  <c r="AB3" i="12"/>
  <c r="AA3" i="12"/>
  <c r="Z3" i="12"/>
  <c r="E6" i="3" s="1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I26" i="2" s="1"/>
  <c r="I32" i="2" s="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E6" i="2" s="1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L15" i="9"/>
  <c r="A15" i="9"/>
  <c r="I13" i="9"/>
  <c r="I11" i="9"/>
  <c r="J10" i="9"/>
  <c r="J9" i="9"/>
  <c r="J8" i="9"/>
  <c r="I8" i="9"/>
  <c r="I14" i="9" s="1"/>
  <c r="J7" i="9"/>
  <c r="I7" i="9"/>
  <c r="J6" i="9"/>
  <c r="I6" i="9"/>
  <c r="I12" i="9" s="1"/>
  <c r="G6" i="9"/>
  <c r="J5" i="9"/>
  <c r="I5" i="9"/>
  <c r="G5" i="9"/>
  <c r="G15" i="9" s="1"/>
  <c r="E5" i="9"/>
  <c r="D5" i="9"/>
  <c r="D15" i="9" s="1"/>
  <c r="C5" i="9"/>
  <c r="M4" i="9"/>
  <c r="M15" i="9" s="1"/>
  <c r="L4" i="9"/>
  <c r="K4" i="9"/>
  <c r="K15" i="9" s="1"/>
  <c r="J4" i="9"/>
  <c r="J15" i="9" s="1"/>
  <c r="I4" i="9"/>
  <c r="I10" i="9" s="1"/>
  <c r="I15" i="9" s="1"/>
  <c r="H4" i="9"/>
  <c r="H15" i="9" s="1"/>
  <c r="G4" i="9"/>
  <c r="F4" i="9"/>
  <c r="F15" i="9" s="1"/>
  <c r="E4" i="9"/>
  <c r="E15" i="9" s="1"/>
  <c r="D4" i="9"/>
  <c r="C4" i="9"/>
  <c r="C15" i="9" s="1"/>
  <c r="B4" i="9"/>
  <c r="B15" i="9" s="1"/>
  <c r="A4" i="9"/>
  <c r="A33" i="8"/>
  <c r="I31" i="8"/>
  <c r="J28" i="8"/>
  <c r="I28" i="8"/>
  <c r="J27" i="8"/>
  <c r="J26" i="8"/>
  <c r="J25" i="8"/>
  <c r="I25" i="8"/>
  <c r="J24" i="8"/>
  <c r="I24" i="8"/>
  <c r="I30" i="8" s="1"/>
  <c r="G24" i="8"/>
  <c r="E24" i="8"/>
  <c r="J23" i="8"/>
  <c r="G23" i="8"/>
  <c r="G33" i="8" s="1"/>
  <c r="E23" i="8"/>
  <c r="D23" i="8"/>
  <c r="C23" i="8"/>
  <c r="M22" i="8"/>
  <c r="M33" i="8" s="1"/>
  <c r="K22" i="8"/>
  <c r="D17" i="1" s="1"/>
  <c r="I22" i="8"/>
  <c r="H22" i="8"/>
  <c r="H33" i="8" s="1"/>
  <c r="G22" i="8"/>
  <c r="F22" i="8"/>
  <c r="F33" i="8" s="1"/>
  <c r="E22" i="8"/>
  <c r="E33" i="8" s="1"/>
  <c r="C22" i="8"/>
  <c r="C33" i="8" s="1"/>
  <c r="A22" i="8"/>
  <c r="L15" i="8"/>
  <c r="A15" i="8"/>
  <c r="I13" i="8"/>
  <c r="I11" i="8"/>
  <c r="J10" i="8"/>
  <c r="I10" i="8"/>
  <c r="J9" i="8"/>
  <c r="J8" i="8"/>
  <c r="I8" i="8"/>
  <c r="I14" i="8" s="1"/>
  <c r="J7" i="8"/>
  <c r="I7" i="8"/>
  <c r="J6" i="8"/>
  <c r="I6" i="8"/>
  <c r="I12" i="8" s="1"/>
  <c r="G6" i="8"/>
  <c r="J5" i="8"/>
  <c r="I5" i="8"/>
  <c r="G5" i="8"/>
  <c r="G15" i="8" s="1"/>
  <c r="E5" i="8"/>
  <c r="D5" i="8"/>
  <c r="D15" i="8" s="1"/>
  <c r="C5" i="8"/>
  <c r="M4" i="8"/>
  <c r="M15" i="8" s="1"/>
  <c r="L4" i="8"/>
  <c r="K4" i="8"/>
  <c r="K15" i="8" s="1"/>
  <c r="J4" i="8"/>
  <c r="J15" i="8" s="1"/>
  <c r="I4" i="8"/>
  <c r="H4" i="8"/>
  <c r="H15" i="8" s="1"/>
  <c r="G4" i="8"/>
  <c r="F4" i="8"/>
  <c r="F15" i="8" s="1"/>
  <c r="E4" i="8"/>
  <c r="E15" i="8" s="1"/>
  <c r="D4" i="8"/>
  <c r="C4" i="8"/>
  <c r="C15" i="8" s="1"/>
  <c r="B4" i="8"/>
  <c r="B15" i="8" s="1"/>
  <c r="A4" i="8"/>
  <c r="L33" i="7"/>
  <c r="A33" i="7"/>
  <c r="I31" i="7"/>
  <c r="J28" i="7"/>
  <c r="I28" i="7"/>
  <c r="J27" i="7"/>
  <c r="J26" i="7"/>
  <c r="J25" i="7"/>
  <c r="I25" i="7"/>
  <c r="J24" i="7"/>
  <c r="I24" i="7"/>
  <c r="I30" i="7" s="1"/>
  <c r="G24" i="7"/>
  <c r="E24" i="7"/>
  <c r="J23" i="7"/>
  <c r="G23" i="7"/>
  <c r="G33" i="7" s="1"/>
  <c r="E23" i="7"/>
  <c r="D23" i="7"/>
  <c r="D33" i="7" s="1"/>
  <c r="C23" i="7"/>
  <c r="M22" i="7"/>
  <c r="M33" i="7" s="1"/>
  <c r="L22" i="7"/>
  <c r="K22" i="7"/>
  <c r="D15" i="1" s="1"/>
  <c r="I22" i="7"/>
  <c r="H22" i="7"/>
  <c r="H33" i="7" s="1"/>
  <c r="G22" i="7"/>
  <c r="F22" i="7"/>
  <c r="F33" i="7" s="1"/>
  <c r="E22" i="7"/>
  <c r="E33" i="7" s="1"/>
  <c r="D22" i="7"/>
  <c r="C22" i="7"/>
  <c r="C33" i="7" s="1"/>
  <c r="A22" i="7"/>
  <c r="L15" i="7"/>
  <c r="A15" i="7"/>
  <c r="I13" i="7"/>
  <c r="I11" i="7"/>
  <c r="J10" i="7"/>
  <c r="I10" i="7"/>
  <c r="J9" i="7"/>
  <c r="J8" i="7"/>
  <c r="I8" i="7"/>
  <c r="I14" i="7" s="1"/>
  <c r="J7" i="7"/>
  <c r="I7" i="7"/>
  <c r="J6" i="7"/>
  <c r="I6" i="7"/>
  <c r="I12" i="7" s="1"/>
  <c r="I15" i="7" s="1"/>
  <c r="G6" i="7"/>
  <c r="J5" i="7"/>
  <c r="I5" i="7"/>
  <c r="G5" i="7"/>
  <c r="G15" i="7" s="1"/>
  <c r="E5" i="7"/>
  <c r="D5" i="7"/>
  <c r="D15" i="7" s="1"/>
  <c r="C5" i="7"/>
  <c r="M4" i="7"/>
  <c r="M15" i="7" s="1"/>
  <c r="L4" i="7"/>
  <c r="K4" i="7"/>
  <c r="K15" i="7" s="1"/>
  <c r="J4" i="7"/>
  <c r="J15" i="7" s="1"/>
  <c r="I4" i="7"/>
  <c r="H4" i="7"/>
  <c r="H15" i="7" s="1"/>
  <c r="G4" i="7"/>
  <c r="F4" i="7"/>
  <c r="F15" i="7" s="1"/>
  <c r="E4" i="7"/>
  <c r="E15" i="7" s="1"/>
  <c r="D4" i="7"/>
  <c r="C4" i="7"/>
  <c r="C15" i="7" s="1"/>
  <c r="B4" i="7"/>
  <c r="B15" i="7" s="1"/>
  <c r="A4" i="7"/>
  <c r="L33" i="6"/>
  <c r="A33" i="6"/>
  <c r="I31" i="6"/>
  <c r="J28" i="6"/>
  <c r="I28" i="6"/>
  <c r="J27" i="6"/>
  <c r="J26" i="6"/>
  <c r="J25" i="6"/>
  <c r="I25" i="6"/>
  <c r="J24" i="6"/>
  <c r="I24" i="6"/>
  <c r="I30" i="6" s="1"/>
  <c r="G24" i="6"/>
  <c r="E24" i="6"/>
  <c r="J23" i="6"/>
  <c r="G23" i="6"/>
  <c r="G33" i="6" s="1"/>
  <c r="E23" i="6"/>
  <c r="D23" i="6"/>
  <c r="D33" i="6" s="1"/>
  <c r="C23" i="6"/>
  <c r="M22" i="6"/>
  <c r="M33" i="6" s="1"/>
  <c r="L22" i="6"/>
  <c r="K22" i="6"/>
  <c r="D13" i="1" s="1"/>
  <c r="I22" i="6"/>
  <c r="H22" i="6"/>
  <c r="H33" i="6" s="1"/>
  <c r="G22" i="6"/>
  <c r="F22" i="6"/>
  <c r="F33" i="6" s="1"/>
  <c r="E22" i="6"/>
  <c r="E33" i="6" s="1"/>
  <c r="D22" i="6"/>
  <c r="C22" i="6"/>
  <c r="C33" i="6" s="1"/>
  <c r="A22" i="6"/>
  <c r="L15" i="6"/>
  <c r="A15" i="6"/>
  <c r="I13" i="6"/>
  <c r="I11" i="6"/>
  <c r="J10" i="6"/>
  <c r="I10" i="6"/>
  <c r="J9" i="6"/>
  <c r="J8" i="6"/>
  <c r="I8" i="6"/>
  <c r="I14" i="6" s="1"/>
  <c r="J7" i="6"/>
  <c r="I7" i="6"/>
  <c r="J6" i="6"/>
  <c r="I6" i="6"/>
  <c r="I12" i="6" s="1"/>
  <c r="I15" i="6" s="1"/>
  <c r="G6" i="6"/>
  <c r="J5" i="6"/>
  <c r="I5" i="6"/>
  <c r="G5" i="6"/>
  <c r="G15" i="6" s="1"/>
  <c r="E5" i="6"/>
  <c r="D5" i="6"/>
  <c r="D15" i="6" s="1"/>
  <c r="C5" i="6"/>
  <c r="M4" i="6"/>
  <c r="M15" i="6" s="1"/>
  <c r="L4" i="6"/>
  <c r="K4" i="6"/>
  <c r="K15" i="6" s="1"/>
  <c r="J4" i="6"/>
  <c r="J15" i="6" s="1"/>
  <c r="I4" i="6"/>
  <c r="H4" i="6"/>
  <c r="H15" i="6" s="1"/>
  <c r="G4" i="6"/>
  <c r="F4" i="6"/>
  <c r="F15" i="6" s="1"/>
  <c r="E4" i="6"/>
  <c r="E15" i="6" s="1"/>
  <c r="D4" i="6"/>
  <c r="C4" i="6"/>
  <c r="C15" i="6" s="1"/>
  <c r="B4" i="6"/>
  <c r="B15" i="6" s="1"/>
  <c r="A4" i="6"/>
  <c r="L33" i="5"/>
  <c r="A33" i="5"/>
  <c r="I31" i="5"/>
  <c r="J28" i="5"/>
  <c r="I28" i="5"/>
  <c r="J27" i="5"/>
  <c r="J26" i="5"/>
  <c r="J25" i="5"/>
  <c r="I25" i="5"/>
  <c r="J24" i="5"/>
  <c r="I24" i="5"/>
  <c r="I30" i="5" s="1"/>
  <c r="G24" i="5"/>
  <c r="E24" i="5"/>
  <c r="J23" i="5"/>
  <c r="G23" i="5"/>
  <c r="G33" i="5" s="1"/>
  <c r="E23" i="5"/>
  <c r="D23" i="5"/>
  <c r="D33" i="5" s="1"/>
  <c r="C23" i="5"/>
  <c r="M22" i="5"/>
  <c r="M33" i="5" s="1"/>
  <c r="L22" i="5"/>
  <c r="K22" i="5"/>
  <c r="D11" i="1" s="1"/>
  <c r="I22" i="5"/>
  <c r="H22" i="5"/>
  <c r="H33" i="5" s="1"/>
  <c r="G22" i="5"/>
  <c r="F22" i="5"/>
  <c r="F33" i="5" s="1"/>
  <c r="E22" i="5"/>
  <c r="E33" i="5" s="1"/>
  <c r="D22" i="5"/>
  <c r="C22" i="5"/>
  <c r="C33" i="5" s="1"/>
  <c r="A22" i="5"/>
  <c r="L15" i="5"/>
  <c r="A15" i="5"/>
  <c r="I13" i="5"/>
  <c r="I11" i="5"/>
  <c r="J10" i="5"/>
  <c r="I10" i="5"/>
  <c r="J9" i="5"/>
  <c r="J8" i="5"/>
  <c r="I8" i="5"/>
  <c r="I14" i="5" s="1"/>
  <c r="J7" i="5"/>
  <c r="I7" i="5"/>
  <c r="J6" i="5"/>
  <c r="I6" i="5"/>
  <c r="I12" i="5" s="1"/>
  <c r="G6" i="5"/>
  <c r="J5" i="5"/>
  <c r="I5" i="5"/>
  <c r="G5" i="5"/>
  <c r="G15" i="5" s="1"/>
  <c r="E5" i="5"/>
  <c r="D5" i="5"/>
  <c r="D15" i="5" s="1"/>
  <c r="C5" i="5"/>
  <c r="M4" i="5"/>
  <c r="M15" i="5" s="1"/>
  <c r="L4" i="5"/>
  <c r="K4" i="5"/>
  <c r="K15" i="5" s="1"/>
  <c r="J4" i="5"/>
  <c r="J15" i="5" s="1"/>
  <c r="I4" i="5"/>
  <c r="H4" i="5"/>
  <c r="H15" i="5" s="1"/>
  <c r="G4" i="5"/>
  <c r="F4" i="5"/>
  <c r="F15" i="5" s="1"/>
  <c r="E4" i="5"/>
  <c r="E15" i="5" s="1"/>
  <c r="D4" i="5"/>
  <c r="C4" i="5"/>
  <c r="C15" i="5" s="1"/>
  <c r="B4" i="5"/>
  <c r="B15" i="5" s="1"/>
  <c r="A4" i="5"/>
  <c r="L33" i="4"/>
  <c r="A33" i="4"/>
  <c r="I31" i="4"/>
  <c r="J28" i="4"/>
  <c r="I28" i="4"/>
  <c r="J27" i="4"/>
  <c r="J26" i="4"/>
  <c r="J25" i="4"/>
  <c r="I25" i="4"/>
  <c r="J24" i="4"/>
  <c r="I24" i="4"/>
  <c r="I30" i="4" s="1"/>
  <c r="G24" i="4"/>
  <c r="E24" i="4"/>
  <c r="J23" i="4"/>
  <c r="G23" i="4"/>
  <c r="G33" i="4" s="1"/>
  <c r="E23" i="4"/>
  <c r="D23" i="4"/>
  <c r="D33" i="4" s="1"/>
  <c r="C23" i="4"/>
  <c r="M22" i="4"/>
  <c r="M33" i="4" s="1"/>
  <c r="L22" i="4"/>
  <c r="K22" i="4"/>
  <c r="D9" i="1" s="1"/>
  <c r="I22" i="4"/>
  <c r="H22" i="4"/>
  <c r="H33" i="4" s="1"/>
  <c r="G22" i="4"/>
  <c r="F22" i="4"/>
  <c r="F33" i="4" s="1"/>
  <c r="E22" i="4"/>
  <c r="E33" i="4" s="1"/>
  <c r="D22" i="4"/>
  <c r="C22" i="4"/>
  <c r="C33" i="4" s="1"/>
  <c r="A22" i="4"/>
  <c r="L15" i="4"/>
  <c r="A15" i="4"/>
  <c r="I13" i="4"/>
  <c r="I11" i="4"/>
  <c r="J10" i="4"/>
  <c r="I10" i="4"/>
  <c r="J9" i="4"/>
  <c r="J8" i="4"/>
  <c r="I8" i="4"/>
  <c r="I14" i="4" s="1"/>
  <c r="J7" i="4"/>
  <c r="I7" i="4"/>
  <c r="J6" i="4"/>
  <c r="I6" i="4"/>
  <c r="I12" i="4" s="1"/>
  <c r="G6" i="4"/>
  <c r="J5" i="4"/>
  <c r="I5" i="4"/>
  <c r="G5" i="4"/>
  <c r="G15" i="4" s="1"/>
  <c r="E5" i="4"/>
  <c r="D5" i="4"/>
  <c r="D15" i="4" s="1"/>
  <c r="C5" i="4"/>
  <c r="M4" i="4"/>
  <c r="M15" i="4" s="1"/>
  <c r="L4" i="4"/>
  <c r="K4" i="4"/>
  <c r="K15" i="4" s="1"/>
  <c r="J4" i="4"/>
  <c r="J15" i="4" s="1"/>
  <c r="I4" i="4"/>
  <c r="H4" i="4"/>
  <c r="H15" i="4" s="1"/>
  <c r="G4" i="4"/>
  <c r="F4" i="4"/>
  <c r="F15" i="4" s="1"/>
  <c r="E4" i="4"/>
  <c r="E15" i="4" s="1"/>
  <c r="D4" i="4"/>
  <c r="C4" i="4"/>
  <c r="C15" i="4" s="1"/>
  <c r="B4" i="4"/>
  <c r="B15" i="4" s="1"/>
  <c r="A4" i="4"/>
  <c r="L33" i="3"/>
  <c r="A33" i="3"/>
  <c r="I31" i="3"/>
  <c r="J28" i="3"/>
  <c r="I28" i="3"/>
  <c r="J27" i="3"/>
  <c r="J26" i="3"/>
  <c r="J25" i="3"/>
  <c r="I25" i="3"/>
  <c r="J24" i="3"/>
  <c r="I24" i="3"/>
  <c r="I30" i="3" s="1"/>
  <c r="G24" i="3"/>
  <c r="E24" i="3"/>
  <c r="J23" i="3"/>
  <c r="G23" i="3"/>
  <c r="G33" i="3" s="1"/>
  <c r="E23" i="3"/>
  <c r="D23" i="3"/>
  <c r="D33" i="3" s="1"/>
  <c r="C23" i="3"/>
  <c r="M22" i="3"/>
  <c r="M33" i="3" s="1"/>
  <c r="L22" i="3"/>
  <c r="K22" i="3"/>
  <c r="D7" i="1" s="1"/>
  <c r="I22" i="3"/>
  <c r="H22" i="3"/>
  <c r="H33" i="3" s="1"/>
  <c r="G22" i="3"/>
  <c r="F22" i="3"/>
  <c r="F33" i="3" s="1"/>
  <c r="E22" i="3"/>
  <c r="E33" i="3" s="1"/>
  <c r="D22" i="3"/>
  <c r="C22" i="3"/>
  <c r="C33" i="3" s="1"/>
  <c r="A22" i="3"/>
  <c r="L15" i="3"/>
  <c r="A15" i="3"/>
  <c r="I13" i="3"/>
  <c r="I11" i="3"/>
  <c r="J10" i="3"/>
  <c r="I10" i="3"/>
  <c r="J9" i="3"/>
  <c r="J8" i="3"/>
  <c r="I8" i="3"/>
  <c r="I14" i="3" s="1"/>
  <c r="J7" i="3"/>
  <c r="I7" i="3"/>
  <c r="J6" i="3"/>
  <c r="I6" i="3"/>
  <c r="I12" i="3" s="1"/>
  <c r="I15" i="3" s="1"/>
  <c r="G6" i="3"/>
  <c r="J5" i="3"/>
  <c r="I5" i="3"/>
  <c r="G5" i="3"/>
  <c r="G15" i="3" s="1"/>
  <c r="E5" i="3"/>
  <c r="D5" i="3"/>
  <c r="D15" i="3" s="1"/>
  <c r="C5" i="3"/>
  <c r="M4" i="3"/>
  <c r="M15" i="3" s="1"/>
  <c r="L4" i="3"/>
  <c r="K4" i="3"/>
  <c r="D6" i="1" s="1"/>
  <c r="J4" i="3"/>
  <c r="J15" i="3" s="1"/>
  <c r="I4" i="3"/>
  <c r="H4" i="3"/>
  <c r="H15" i="3" s="1"/>
  <c r="G4" i="3"/>
  <c r="F4" i="3"/>
  <c r="F15" i="3" s="1"/>
  <c r="E4" i="3"/>
  <c r="E15" i="3" s="1"/>
  <c r="D4" i="3"/>
  <c r="C4" i="3"/>
  <c r="C15" i="3" s="1"/>
  <c r="B4" i="3"/>
  <c r="B15" i="3" s="1"/>
  <c r="A4" i="3"/>
  <c r="L33" i="2"/>
  <c r="A33" i="2"/>
  <c r="I31" i="2"/>
  <c r="I29" i="2"/>
  <c r="J28" i="2"/>
  <c r="I28" i="2"/>
  <c r="J27" i="2"/>
  <c r="J26" i="2"/>
  <c r="J25" i="2"/>
  <c r="I25" i="2"/>
  <c r="J24" i="2"/>
  <c r="I24" i="2"/>
  <c r="I30" i="2" s="1"/>
  <c r="I33" i="2" s="1"/>
  <c r="G24" i="2"/>
  <c r="E24" i="2"/>
  <c r="J23" i="2"/>
  <c r="I23" i="2"/>
  <c r="G23" i="2"/>
  <c r="G33" i="2" s="1"/>
  <c r="E23" i="2"/>
  <c r="D23" i="2"/>
  <c r="D33" i="2" s="1"/>
  <c r="C23" i="2"/>
  <c r="M22" i="2"/>
  <c r="M33" i="2" s="1"/>
  <c r="L22" i="2"/>
  <c r="K22" i="2"/>
  <c r="D5" i="1" s="1"/>
  <c r="J22" i="2"/>
  <c r="J33" i="2" s="1"/>
  <c r="I22" i="2"/>
  <c r="H22" i="2"/>
  <c r="H33" i="2" s="1"/>
  <c r="G22" i="2"/>
  <c r="F22" i="2"/>
  <c r="F33" i="2" s="1"/>
  <c r="E22" i="2"/>
  <c r="E33" i="2" s="1"/>
  <c r="D22" i="2"/>
  <c r="C22" i="2"/>
  <c r="C33" i="2" s="1"/>
  <c r="B22" i="2"/>
  <c r="B33" i="2" s="1"/>
  <c r="A22" i="2"/>
  <c r="L15" i="2"/>
  <c r="A15" i="2"/>
  <c r="I13" i="2"/>
  <c r="I11" i="2"/>
  <c r="J10" i="2"/>
  <c r="I10" i="2"/>
  <c r="J9" i="2"/>
  <c r="J8" i="2"/>
  <c r="I8" i="2"/>
  <c r="I14" i="2" s="1"/>
  <c r="J7" i="2"/>
  <c r="I7" i="2"/>
  <c r="J6" i="2"/>
  <c r="I6" i="2"/>
  <c r="I12" i="2" s="1"/>
  <c r="G6" i="2"/>
  <c r="J5" i="2"/>
  <c r="I5" i="2"/>
  <c r="G5" i="2"/>
  <c r="G15" i="2" s="1"/>
  <c r="E5" i="2"/>
  <c r="D5" i="2"/>
  <c r="D15" i="2" s="1"/>
  <c r="C5" i="2"/>
  <c r="M4" i="2"/>
  <c r="M15" i="2" s="1"/>
  <c r="L4" i="2"/>
  <c r="K4" i="2"/>
  <c r="D4" i="1" s="1"/>
  <c r="J4" i="2"/>
  <c r="J15" i="2" s="1"/>
  <c r="I4" i="2"/>
  <c r="H4" i="2"/>
  <c r="H15" i="2" s="1"/>
  <c r="G4" i="2"/>
  <c r="F4" i="2"/>
  <c r="F15" i="2" s="1"/>
  <c r="E4" i="2"/>
  <c r="E15" i="2" s="1"/>
  <c r="D4" i="2"/>
  <c r="C4" i="2"/>
  <c r="C15" i="2" s="1"/>
  <c r="B4" i="2"/>
  <c r="B15" i="2" s="1"/>
  <c r="A4" i="2"/>
  <c r="B28" i="1"/>
  <c r="D18" i="1"/>
  <c r="A18" i="1"/>
  <c r="A17" i="1"/>
  <c r="D16" i="1"/>
  <c r="A16" i="1"/>
  <c r="A15" i="1"/>
  <c r="D14" i="1"/>
  <c r="A14" i="1"/>
  <c r="A13" i="1"/>
  <c r="D12" i="1"/>
  <c r="A12" i="1"/>
  <c r="A11" i="1"/>
  <c r="D10" i="1"/>
  <c r="A10" i="1"/>
  <c r="A9" i="1"/>
  <c r="A8" i="1"/>
  <c r="A7" i="1"/>
  <c r="A6" i="1"/>
  <c r="A5" i="1"/>
  <c r="A4" i="1"/>
  <c r="I33" i="8" l="1"/>
  <c r="B34" i="8" s="1"/>
  <c r="C17" i="1"/>
  <c r="B17" i="1" s="1"/>
  <c r="C14" i="1"/>
  <c r="B14" i="1" s="1"/>
  <c r="C18" i="1"/>
  <c r="B18" i="1" s="1"/>
  <c r="C6" i="1"/>
  <c r="B6" i="1" s="1"/>
  <c r="I15" i="5"/>
  <c r="C11" i="1"/>
  <c r="B11" i="1" s="1"/>
  <c r="C5" i="1"/>
  <c r="B5" i="1" s="1"/>
  <c r="I15" i="8"/>
  <c r="B16" i="8" s="1"/>
  <c r="C12" i="1"/>
  <c r="B12" i="1" s="1"/>
  <c r="I15" i="2"/>
  <c r="C4" i="1" s="1"/>
  <c r="B4" i="1" s="1"/>
  <c r="I15" i="4"/>
  <c r="C8" i="1" s="1"/>
  <c r="B8" i="1" s="1"/>
  <c r="C9" i="1"/>
  <c r="B9" i="1" s="1"/>
  <c r="C13" i="1"/>
  <c r="B13" i="1" s="1"/>
  <c r="C10" i="1"/>
  <c r="B10" i="1" s="1"/>
  <c r="C7" i="1"/>
  <c r="B7" i="1" s="1"/>
  <c r="C15" i="1"/>
  <c r="B15" i="1" s="1"/>
  <c r="K15" i="3"/>
  <c r="B16" i="3" s="1"/>
  <c r="K33" i="3"/>
  <c r="B34" i="3" s="1"/>
  <c r="K33" i="5"/>
  <c r="D8" i="1"/>
  <c r="K33" i="7"/>
  <c r="B34" i="7" s="1"/>
  <c r="K15" i="2"/>
  <c r="K33" i="6"/>
  <c r="K33" i="8"/>
  <c r="B16" i="2"/>
  <c r="B34" i="2"/>
  <c r="B16" i="4"/>
  <c r="B16" i="5"/>
  <c r="B34" i="5"/>
  <c r="B16" i="6"/>
  <c r="B34" i="6"/>
  <c r="B16" i="7"/>
  <c r="B16" i="9"/>
  <c r="K33" i="2"/>
  <c r="K33" i="4"/>
  <c r="B34" i="4" s="1"/>
  <c r="C16" i="1" l="1"/>
  <c r="B16" i="1" s="1"/>
  <c r="B29" i="1" s="1"/>
  <c r="B30" i="1" s="1"/>
</calcChain>
</file>

<file path=xl/sharedStrings.xml><?xml version="1.0" encoding="utf-8"?>
<sst xmlns="http://schemas.openxmlformats.org/spreadsheetml/2006/main" count="1253" uniqueCount="102">
  <si>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</si>
  <si>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</si>
  <si>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</si>
  <si>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</si>
  <si>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</si>
  <si>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</si>
  <si>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</si>
  <si>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</si>
  <si>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</si>
  <si>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</si>
  <si>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</si>
  <si>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</si>
  <si>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</si>
  <si>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</si>
  <si>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</si>
  <si>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</si>
  <si>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</si>
  <si>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</si>
  <si>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</si>
  <si>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</si>
  <si>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</si>
  <si>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</si>
  <si>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</si>
  <si>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</si>
  <si>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</si>
  <si>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</si>
  <si>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</si>
  <si>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</si>
  <si>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</si>
  <si>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</si>
  <si>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</si>
  <si>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</si>
  <si>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</si>
  <si>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</si>
  <si>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</si>
  <si>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</si>
  <si>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</si>
  <si>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</si>
  <si>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</si>
  <si>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</si>
  <si>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</si>
  <si>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</si>
  <si>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</si>
  <si>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</si>
  <si>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</si>
  <si>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</si>
  <si>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</si>
  <si>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</si>
  <si>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</si>
  <si>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</si>
  <si>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</si>
  <si>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</si>
  <si>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</si>
  <si>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</si>
  <si>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</si>
  <si>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</si>
  <si>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</si>
  <si>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</si>
  <si>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</si>
  <si>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</si>
  <si>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</si>
  <si>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Foam Trailer</t>
  </si>
  <si>
    <t>Kuhlman</t>
  </si>
  <si>
    <t>Beaven 1</t>
  </si>
  <si>
    <t>Beaven 2</t>
  </si>
  <si>
    <t>Beaven 3</t>
  </si>
  <si>
    <t>Comfort 1221 s grand</t>
  </si>
  <si>
    <t>Sean Stevens 1820 E Illinois</t>
  </si>
  <si>
    <t>Joe Bayer</t>
  </si>
  <si>
    <t>CAC Lot 42 CR</t>
  </si>
  <si>
    <t>Andrew Adams</t>
  </si>
  <si>
    <t>Spike Bell</t>
  </si>
  <si>
    <t>CAC 5566 VIctoria Bluffs</t>
  </si>
  <si>
    <t>CAC Elhoujairy</t>
  </si>
  <si>
    <t xml:space="preserve">CAC Fueger </t>
  </si>
  <si>
    <t>Jim Kiegel Attic Fixes</t>
  </si>
  <si>
    <t>OC  4"</t>
  </si>
  <si>
    <t>Joe Bayer Fix</t>
  </si>
  <si>
    <t>Vacation Pay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</si>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</sst>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C27" sqref="C27"/>
    </sheetView>
  </sheetViews>
  <sheetFormatPr defaultColWidth="8.77734375" defaultRowHeight="16.8" x14ac:dyDescent="0.4"/>
  <cols>
    <col min="1" max="1" width="28.77734375" style="11" customWidth="1"/>
    <col min="2" max="2" width="15.77734375" style="11" customWidth="1"/>
    <col min="3" max="3" width="13.21875" style="11" customWidth="1"/>
    <col min="4" max="4" width="13.77734375" style="11" customWidth="1"/>
    <col min="5" max="5" width="15.21875" style="11" customWidth="1"/>
    <col min="6" max="6" width="8.77734375" style="11" customWidth="1"/>
    <col min="7" max="16384" width="8.77734375" style="11"/>
  </cols>
  <sheetData>
    <row r="1" spans="1:5" x14ac:dyDescent="0.4">
      <c r="A1" s="24" t="s">
        <v>0</v>
      </c>
    </row>
    <row r="3" spans="1:5" x14ac:dyDescent="0.4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4">
      <c r="A4" s="29" t="str">
        <f>'Emp1&amp;Emp2'!B1</f>
        <v>Justin Bausinger</v>
      </c>
      <c r="B4" s="33">
        <f t="shared" ref="B4:B18" si="0">SUM(C4:E4)</f>
        <v>952.51</v>
      </c>
      <c r="C4" s="34">
        <f>SUM('Emp1&amp;Emp2'!A15:J15,'Emp1&amp;Emp2'!L15)</f>
        <v>952.51</v>
      </c>
      <c r="D4" s="37">
        <f>'Emp1&amp;Emp2'!K4</f>
        <v>0</v>
      </c>
      <c r="E4" s="35"/>
    </row>
    <row r="5" spans="1:5" x14ac:dyDescent="0.4">
      <c r="A5" s="29" t="str">
        <f>'Emp1&amp;Emp2'!B19</f>
        <v>Davion Burris</v>
      </c>
      <c r="B5" s="33">
        <f t="shared" si="0"/>
        <v>782.01</v>
      </c>
      <c r="C5" s="34">
        <f>SUM('Emp1&amp;Emp2'!A33:J33,'Emp1&amp;Emp2'!L33)</f>
        <v>782.01</v>
      </c>
      <c r="D5" s="37">
        <f>'Emp1&amp;Emp2'!K22</f>
        <v>0</v>
      </c>
      <c r="E5" s="36"/>
    </row>
    <row r="6" spans="1:5" x14ac:dyDescent="0.4">
      <c r="A6" s="29" t="str">
        <f>'Emp3&amp;Emp4'!B1</f>
        <v>Chris Classen</v>
      </c>
      <c r="B6" s="33">
        <f t="shared" si="0"/>
        <v>637.52</v>
      </c>
      <c r="C6" s="34">
        <f>SUM('Emp3&amp;Emp4'!A15:J15,'Emp3&amp;Emp4'!L15)</f>
        <v>637.52</v>
      </c>
      <c r="D6" s="37">
        <f>'Emp3&amp;Emp4'!K4</f>
        <v>0</v>
      </c>
      <c r="E6" s="35"/>
    </row>
    <row r="7" spans="1:5" x14ac:dyDescent="0.4">
      <c r="A7" s="29" t="str">
        <f>'Emp3&amp;Emp4'!B19</f>
        <v>Jeremy Denton</v>
      </c>
      <c r="B7" s="33">
        <f t="shared" si="0"/>
        <v>514.75</v>
      </c>
      <c r="C7" s="34">
        <f>SUM('Emp3&amp;Emp4'!A33:J33,'Emp3&amp;Emp4'!L33)</f>
        <v>514.75</v>
      </c>
      <c r="D7" s="37">
        <f>'Emp3&amp;Emp4'!K22</f>
        <v>0</v>
      </c>
      <c r="E7" s="35"/>
    </row>
    <row r="8" spans="1:5" x14ac:dyDescent="0.4">
      <c r="A8" s="29" t="str">
        <f>'Emp5&amp;Emp6'!B1</f>
        <v>Glen Hayes</v>
      </c>
      <c r="B8" s="33">
        <f t="shared" si="0"/>
        <v>641.15</v>
      </c>
      <c r="C8" s="34">
        <f>SUM('Emp5&amp;Emp6'!A15:J15,'Emp5&amp;Emp6'!L15)</f>
        <v>641.15</v>
      </c>
      <c r="D8" s="37">
        <f>'Emp5&amp;Emp6'!K4</f>
        <v>0</v>
      </c>
      <c r="E8" s="35"/>
    </row>
    <row r="9" spans="1:5" x14ac:dyDescent="0.4">
      <c r="A9" s="29" t="str">
        <f>'Emp5&amp;Emp6'!B19</f>
        <v>Mike Mato</v>
      </c>
      <c r="B9" s="33">
        <f t="shared" si="0"/>
        <v>695.61</v>
      </c>
      <c r="C9" s="34">
        <f>SUM('Emp5&amp;Emp6'!A33:J33,'Emp5&amp;Emp6'!L33)</f>
        <v>695.61</v>
      </c>
      <c r="D9" s="37">
        <f>'Emp5&amp;Emp6'!K22</f>
        <v>0</v>
      </c>
      <c r="E9" s="35"/>
    </row>
    <row r="10" spans="1:5" x14ac:dyDescent="0.4">
      <c r="A10" s="29" t="str">
        <f>'Emp7&amp;Emp8'!B1</f>
        <v>Mike Mato Jr</v>
      </c>
      <c r="B10" s="33">
        <f t="shared" si="0"/>
        <v>825.61</v>
      </c>
      <c r="C10" s="34">
        <f>SUM('Emp7&amp;Emp8'!A15:J15,'Emp7&amp;Emp8'!L15)</f>
        <v>695.61</v>
      </c>
      <c r="D10" s="37">
        <f>'Emp7&amp;Emp8'!K4</f>
        <v>130</v>
      </c>
      <c r="E10" s="35"/>
    </row>
    <row r="11" spans="1:5" x14ac:dyDescent="0.4">
      <c r="A11" s="29" t="str">
        <f>'Emp7&amp;Emp8'!B19</f>
        <v>Kenny Ray</v>
      </c>
      <c r="B11" s="33">
        <f t="shared" si="0"/>
        <v>991.39</v>
      </c>
      <c r="C11" s="34">
        <f>SUM('Emp7&amp;Emp8'!A33:J33,'Emp7&amp;Emp8'!L33)</f>
        <v>861.39</v>
      </c>
      <c r="D11" s="37">
        <f>'Emp7&amp;Emp8'!K22</f>
        <v>130</v>
      </c>
      <c r="E11" s="35"/>
    </row>
    <row r="12" spans="1:5" x14ac:dyDescent="0.4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4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4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4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4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4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4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4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4">
      <c r="A22" s="12" t="s">
        <v>9</v>
      </c>
      <c r="B22" s="31">
        <v>1155</v>
      </c>
      <c r="C22" s="31"/>
      <c r="D22" s="31"/>
      <c r="E22" s="31"/>
    </row>
    <row r="23" spans="1:5" x14ac:dyDescent="0.4">
      <c r="A23" s="12" t="s">
        <v>10</v>
      </c>
      <c r="B23" s="31">
        <v>923.08</v>
      </c>
      <c r="C23" s="31"/>
      <c r="D23" s="31"/>
      <c r="E23" s="31"/>
    </row>
    <row r="24" spans="1:5" x14ac:dyDescent="0.4">
      <c r="A24" s="12"/>
      <c r="B24" s="31"/>
      <c r="C24" s="31"/>
      <c r="D24" s="31"/>
      <c r="E24" s="31"/>
    </row>
    <row r="25" spans="1:5" x14ac:dyDescent="0.4">
      <c r="A25" s="12"/>
      <c r="B25" s="31"/>
      <c r="C25" s="31"/>
      <c r="D25" s="31"/>
      <c r="E25" s="31"/>
    </row>
    <row r="27" spans="1:5" x14ac:dyDescent="0.4">
      <c r="A27" s="16" t="s">
        <v>11</v>
      </c>
    </row>
    <row r="28" spans="1:5" x14ac:dyDescent="0.4">
      <c r="A28" s="12" t="s">
        <v>12</v>
      </c>
      <c r="B28" s="32">
        <f>SUM(B22:E25)</f>
        <v>2078.08</v>
      </c>
    </row>
    <row r="29" spans="1:5" x14ac:dyDescent="0.4">
      <c r="A29" s="12" t="s">
        <v>13</v>
      </c>
      <c r="B29" s="32">
        <f>SUM(B4:B18)</f>
        <v>6040.55</v>
      </c>
    </row>
    <row r="30" spans="1:5" x14ac:dyDescent="0.4">
      <c r="A30" s="12" t="s">
        <v>14</v>
      </c>
      <c r="B30" s="32">
        <f>SUM(B28:B29)</f>
        <v>8118.63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B20" sqref="B20"/>
    </sheetView>
  </sheetViews>
  <sheetFormatPr defaultColWidth="8.77734375" defaultRowHeight="16.8" x14ac:dyDescent="0.4"/>
  <cols>
    <col min="1" max="1" width="9.77734375" style="11" customWidth="1"/>
    <col min="2" max="2" width="12.21875" style="11" customWidth="1"/>
    <col min="3" max="3" width="8.77734375" style="11" customWidth="1"/>
    <col min="4" max="4" width="12.21875" style="11" customWidth="1"/>
    <col min="5" max="5" width="9.21875" style="11" customWidth="1"/>
    <col min="6" max="6" width="8.77734375" style="11" customWidth="1"/>
    <col min="7" max="7" width="10.5546875" style="11" customWidth="1"/>
    <col min="8" max="9" width="8.77734375" style="11" customWidth="1"/>
    <col min="10" max="10" width="11.77734375" style="11" customWidth="1"/>
    <col min="11" max="12" width="10.21875" style="11" customWidth="1"/>
    <col min="13" max="13" width="10.44140625" style="11" customWidth="1"/>
    <col min="14" max="14" width="8.77734375" style="11" customWidth="1"/>
    <col min="15" max="16384" width="8.77734375" style="11"/>
  </cols>
  <sheetData>
    <row r="1" spans="1:13" x14ac:dyDescent="0.4">
      <c r="A1" s="11" t="s">
        <v>15</v>
      </c>
      <c r="B1" t="s">
        <v>16</v>
      </c>
    </row>
    <row r="3" spans="1:13" ht="17.55" customHeight="1" x14ac:dyDescent="0.4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4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4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/>
      <c r="M5" s="14"/>
    </row>
    <row r="6" spans="1:13" x14ac:dyDescent="0.4">
      <c r="A6" s="15"/>
      <c r="B6" s="15"/>
      <c r="C6" s="14"/>
      <c r="D6" s="14"/>
      <c r="E6" s="12">
        <f>Emp1Record!Z3</f>
        <v>216.67000000000002</v>
      </c>
      <c r="F6" s="15"/>
      <c r="G6" s="12">
        <f>Emp1Record!AA3</f>
        <v>191.67000000000002</v>
      </c>
      <c r="H6" s="15"/>
      <c r="I6" s="12">
        <f>Emp1Record!L3</f>
        <v>0</v>
      </c>
      <c r="J6" s="13">
        <f>Emp1Record!U3</f>
        <v>250.29</v>
      </c>
      <c r="K6" s="15"/>
      <c r="L6" s="30"/>
      <c r="M6" s="15"/>
    </row>
    <row r="7" spans="1:13" x14ac:dyDescent="0.4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49.28</v>
      </c>
      <c r="K7" s="15"/>
      <c r="L7" s="30"/>
      <c r="M7" s="15"/>
    </row>
    <row r="8" spans="1:13" x14ac:dyDescent="0.4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123.6</v>
      </c>
      <c r="K9" s="15"/>
      <c r="L9" s="30"/>
      <c r="M9" s="15"/>
    </row>
    <row r="10" spans="1:13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121</v>
      </c>
      <c r="K10" s="15"/>
      <c r="L10" s="30"/>
      <c r="M10" s="15"/>
    </row>
    <row r="11" spans="1:13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216.67000000000002</v>
      </c>
      <c r="F15" s="23">
        <f>SUM(F4)</f>
        <v>0</v>
      </c>
      <c r="G15" s="23">
        <f>SUM(G4:G6)</f>
        <v>191.67000000000002</v>
      </c>
      <c r="H15" s="23">
        <f>SUM(H4)</f>
        <v>0</v>
      </c>
      <c r="I15" s="23">
        <f>SUM(I10:I14)</f>
        <v>0</v>
      </c>
      <c r="J15" s="23">
        <f>SUM(J4:J10)</f>
        <v>544.16999999999996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x14ac:dyDescent="0.4">
      <c r="A16" s="19" t="s">
        <v>2</v>
      </c>
      <c r="B16" s="22">
        <f>SUM(A15:M15)</f>
        <v>952.51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4">
      <c r="A19" s="11" t="s">
        <v>15</v>
      </c>
      <c r="B19" t="s">
        <v>28</v>
      </c>
    </row>
    <row r="21" spans="1:13" x14ac:dyDescent="0.4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4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57.68</v>
      </c>
      <c r="E22" s="12">
        <f>Emp2Record!F3</f>
        <v>100</v>
      </c>
      <c r="F22" s="13">
        <f>Emp2Record!G3</f>
        <v>233.33</v>
      </c>
      <c r="G22" s="12">
        <f>Emp2Record!H3</f>
        <v>161.67000000000002</v>
      </c>
      <c r="H22" s="12">
        <f>Emp2Record!I3</f>
        <v>0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4">
      <c r="A23" s="14"/>
      <c r="B23" s="14"/>
      <c r="C23" s="12">
        <f>Emp2Record!O3</f>
        <v>45.83</v>
      </c>
      <c r="D23" s="13">
        <f>Emp2Record!R3</f>
        <v>0</v>
      </c>
      <c r="E23" s="13">
        <f>Emp2Record!P3</f>
        <v>0</v>
      </c>
      <c r="F23" s="14"/>
      <c r="G23" s="12">
        <f>Emp2Record!Q3</f>
        <v>25</v>
      </c>
      <c r="H23" s="14"/>
      <c r="I23" s="12">
        <f>Emp2Record!K3</f>
        <v>0</v>
      </c>
      <c r="J23" s="13">
        <f>Emp2Record!T3</f>
        <v>0</v>
      </c>
      <c r="K23" s="14"/>
      <c r="L23" s="30"/>
      <c r="M23" s="14"/>
    </row>
    <row r="24" spans="1:13" x14ac:dyDescent="0.4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1585</v>
      </c>
      <c r="J24" s="13">
        <f>Emp2Record!U3</f>
        <v>0</v>
      </c>
      <c r="K24" s="15"/>
      <c r="L24" s="30"/>
      <c r="M24" s="15"/>
    </row>
    <row r="25" spans="1:13" x14ac:dyDescent="0.4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4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158.5</v>
      </c>
      <c r="J30" s="15"/>
      <c r="K30" s="15"/>
      <c r="L30" s="30"/>
      <c r="M30" s="15"/>
    </row>
    <row r="31" spans="1:13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4">
      <c r="A33" s="23">
        <f>A22*'Pay Rates'!B3</f>
        <v>0</v>
      </c>
      <c r="B33" s="23">
        <f>B22*'Pay Rates'!B4</f>
        <v>0</v>
      </c>
      <c r="C33" s="23">
        <f>SUM(C22:C23)</f>
        <v>45.83</v>
      </c>
      <c r="D33" s="23">
        <f>SUM(D22:D23)</f>
        <v>57.68</v>
      </c>
      <c r="E33" s="23">
        <f>SUM(E22:E24)</f>
        <v>100</v>
      </c>
      <c r="F33" s="23">
        <f>SUM(F22)</f>
        <v>233.33</v>
      </c>
      <c r="G33" s="23">
        <f>SUM(G22:G24)</f>
        <v>186.67000000000002</v>
      </c>
      <c r="H33" s="23">
        <f>SUM(H22)</f>
        <v>0</v>
      </c>
      <c r="I33" s="23">
        <f>SUM(I28:I32)</f>
        <v>158.5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x14ac:dyDescent="0.4">
      <c r="A34" s="19" t="s">
        <v>2</v>
      </c>
      <c r="B34" s="22">
        <f>SUM(A33:M33)</f>
        <v>782.01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zoomScale="99" workbookViewId="0">
      <selection activeCell="M22" sqref="M22"/>
    </sheetView>
  </sheetViews>
  <sheetFormatPr defaultRowHeight="14.4" x14ac:dyDescent="0.3"/>
  <cols>
    <col min="2" max="2" width="10.5546875" customWidth="1"/>
    <col min="4" max="4" width="12.21875" customWidth="1"/>
    <col min="7" max="7" width="9.77734375" customWidth="1"/>
    <col min="9" max="9" width="10.21875" customWidth="1"/>
    <col min="10" max="10" width="11.77734375" customWidth="1"/>
    <col min="12" max="12" width="10" customWidth="1"/>
  </cols>
  <sheetData>
    <row r="1" spans="1:13" ht="16.5" customHeight="1" x14ac:dyDescent="0.4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6.0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4">
      <c r="A4" s="12">
        <f>Emp3Record!B3</f>
        <v>792</v>
      </c>
      <c r="B4" s="13">
        <f>Emp3Record!C3</f>
        <v>0</v>
      </c>
      <c r="C4" s="12">
        <f>Emp3Record!D3</f>
        <v>0</v>
      </c>
      <c r="D4" s="13">
        <f>Emp3Record!E3</f>
        <v>0</v>
      </c>
      <c r="E4" s="12">
        <f>Emp3Record!F3</f>
        <v>50</v>
      </c>
      <c r="F4" s="13">
        <f>Emp3Record!G3</f>
        <v>0</v>
      </c>
      <c r="G4" s="12">
        <f>Emp3Record!H3</f>
        <v>50</v>
      </c>
      <c r="H4" s="12">
        <f>Emp3Record!I3</f>
        <v>70.67</v>
      </c>
      <c r="I4" s="12">
        <f>Emp3Record!J3</f>
        <v>910</v>
      </c>
      <c r="J4" s="12">
        <f>Emp3Record!S3</f>
        <v>0</v>
      </c>
      <c r="K4" s="13">
        <f>Emp3Record!AB3</f>
        <v>0</v>
      </c>
      <c r="L4" s="39">
        <f>Emp3Record!AC3</f>
        <v>0</v>
      </c>
      <c r="M4" s="38">
        <f>'Payroll Summary'!E6</f>
        <v>0</v>
      </c>
    </row>
    <row r="5" spans="1:13" ht="16.5" customHeight="1" x14ac:dyDescent="0.4">
      <c r="A5" s="14"/>
      <c r="B5" s="14"/>
      <c r="C5" s="12">
        <f>Emp3Record!O3</f>
        <v>0</v>
      </c>
      <c r="D5" s="13">
        <f>Emp3Record!R3</f>
        <v>0</v>
      </c>
      <c r="E5" s="13">
        <f>Emp3Record!P3</f>
        <v>0</v>
      </c>
      <c r="F5" s="14"/>
      <c r="G5" s="12">
        <f>Emp3Record!Q3</f>
        <v>0</v>
      </c>
      <c r="H5" s="14"/>
      <c r="I5" s="12">
        <f>Emp3Record!K3</f>
        <v>0</v>
      </c>
      <c r="J5" s="13">
        <f>Emp3Record!T3</f>
        <v>0</v>
      </c>
      <c r="K5" s="14"/>
      <c r="L5" s="30"/>
      <c r="M5" s="14"/>
    </row>
    <row r="6" spans="1:13" ht="16.5" customHeight="1" x14ac:dyDescent="0.4">
      <c r="A6" s="15"/>
      <c r="B6" s="15"/>
      <c r="C6" s="14"/>
      <c r="D6" s="14"/>
      <c r="E6" s="12">
        <f>Emp3Record!Z3</f>
        <v>66.67</v>
      </c>
      <c r="F6" s="15"/>
      <c r="G6" s="12">
        <f>Emp3Record!AA3</f>
        <v>41.67</v>
      </c>
      <c r="H6" s="15"/>
      <c r="I6" s="12">
        <f>Emp3Record!L3</f>
        <v>0</v>
      </c>
      <c r="J6" s="13">
        <f>Emp3Record!U3</f>
        <v>104.65</v>
      </c>
      <c r="K6" s="15"/>
      <c r="L6" s="30"/>
      <c r="M6" s="15"/>
    </row>
    <row r="7" spans="1:13" ht="16.5" customHeight="1" x14ac:dyDescent="0.4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49.28</v>
      </c>
      <c r="K7" s="15"/>
      <c r="L7" s="30"/>
      <c r="M7" s="15"/>
    </row>
    <row r="8" spans="1:13" ht="16.5" customHeight="1" x14ac:dyDescent="0.4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72.8</v>
      </c>
      <c r="J10" s="39">
        <f>Emp3Record!Y3</f>
        <v>60.5</v>
      </c>
      <c r="K10" s="15"/>
      <c r="L10" s="30"/>
      <c r="M10" s="15"/>
    </row>
    <row r="11" spans="1:13" ht="16.5" customHeight="1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4">
      <c r="A15" s="23">
        <f>A4*'Pay Rates'!B3</f>
        <v>71.28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116.67</v>
      </c>
      <c r="F15" s="23">
        <f>SUM(F4)</f>
        <v>0</v>
      </c>
      <c r="G15" s="23">
        <f>SUM(G4:G6)</f>
        <v>91.67</v>
      </c>
      <c r="H15" s="23">
        <f>SUM(H4)</f>
        <v>70.67</v>
      </c>
      <c r="I15" s="23">
        <f>SUM(I10:I14)</f>
        <v>72.8</v>
      </c>
      <c r="J15" s="23">
        <f>SUM(J4:J10)</f>
        <v>214.43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4">
      <c r="A16" s="19" t="s">
        <v>2</v>
      </c>
      <c r="B16" s="22">
        <f>SUM(A15:M15)</f>
        <v>637.52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4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6.05" customHeight="1" x14ac:dyDescent="0.3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4">
      <c r="A22" s="12">
        <f>Emp4Record!B3</f>
        <v>792</v>
      </c>
      <c r="B22" s="13">
        <f>Emp4Record!C3</f>
        <v>0</v>
      </c>
      <c r="C22" s="12">
        <f>Emp4Record!D3</f>
        <v>0</v>
      </c>
      <c r="D22" s="13">
        <f>Emp4Record!E3</f>
        <v>0</v>
      </c>
      <c r="E22" s="12">
        <f>Emp4Record!F3</f>
        <v>50</v>
      </c>
      <c r="F22" s="13">
        <f>Emp4Record!G3</f>
        <v>0</v>
      </c>
      <c r="G22" s="12">
        <f>Emp4Record!H3</f>
        <v>250</v>
      </c>
      <c r="H22" s="12">
        <f>Emp4Record!I3</f>
        <v>70.67</v>
      </c>
      <c r="I22" s="12">
        <f>Emp4Record!J3</f>
        <v>910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5" customHeight="1" x14ac:dyDescent="0.4">
      <c r="A23" s="14"/>
      <c r="B23" s="14"/>
      <c r="C23" s="12">
        <f>Emp4Record!O3</f>
        <v>0</v>
      </c>
      <c r="D23" s="13">
        <f>Emp4Record!R3</f>
        <v>0</v>
      </c>
      <c r="E23" s="13">
        <f>Emp4Record!P3</f>
        <v>0</v>
      </c>
      <c r="F23" s="14"/>
      <c r="G23" s="12">
        <f>Emp4Record!Q3</f>
        <v>0</v>
      </c>
      <c r="H23" s="14"/>
      <c r="I23" s="12">
        <f>Emp4Record!K3</f>
        <v>0</v>
      </c>
      <c r="J23" s="13">
        <f>Emp4Record!T3</f>
        <v>0</v>
      </c>
      <c r="K23" s="14"/>
      <c r="L23" s="30"/>
      <c r="M23" s="14"/>
    </row>
    <row r="24" spans="1:13" ht="16.5" customHeight="1" x14ac:dyDescent="0.4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0</v>
      </c>
      <c r="J24" s="13">
        <f>Emp4Record!U3</f>
        <v>0</v>
      </c>
      <c r="K24" s="15"/>
      <c r="L24" s="30"/>
      <c r="M24" s="15"/>
    </row>
    <row r="25" spans="1:13" ht="16.5" customHeight="1" x14ac:dyDescent="0.4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4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72.8</v>
      </c>
      <c r="J28" s="39">
        <f>Emp4Record!Y3</f>
        <v>0</v>
      </c>
      <c r="K28" s="15"/>
      <c r="L28" s="30"/>
      <c r="M28" s="15"/>
    </row>
    <row r="29" spans="1:13" ht="16.5" customHeight="1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4">
      <c r="A33" s="23">
        <f>A22*'Pay Rates'!B3</f>
        <v>71.28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50</v>
      </c>
      <c r="F33" s="23">
        <f>SUM(F22)</f>
        <v>0</v>
      </c>
      <c r="G33" s="23">
        <f>SUM(G22:G24)</f>
        <v>250</v>
      </c>
      <c r="H33" s="23">
        <f>SUM(H22)</f>
        <v>70.67</v>
      </c>
      <c r="I33" s="23">
        <f>SUM(I28:I32)</f>
        <v>72.8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4">
      <c r="A34" s="19" t="s">
        <v>2</v>
      </c>
      <c r="B34" s="22">
        <f>SUM(A33:M33)</f>
        <v>514.75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14" workbookViewId="0">
      <selection activeCell="L22" sqref="L22"/>
    </sheetView>
  </sheetViews>
  <sheetFormatPr defaultRowHeight="14.4" x14ac:dyDescent="0.3"/>
  <sheetData>
    <row r="1" spans="1:13" ht="16.5" customHeight="1" x14ac:dyDescent="0.4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4">
      <c r="A4" s="12">
        <f>Emp5Record!B3</f>
        <v>792</v>
      </c>
      <c r="B4" s="13">
        <f>Emp5Record!C3</f>
        <v>0</v>
      </c>
      <c r="C4" s="12">
        <f>Emp5Record!D3</f>
        <v>0</v>
      </c>
      <c r="D4" s="13">
        <f>Emp5Record!E3</f>
        <v>0</v>
      </c>
      <c r="E4" s="12">
        <f>Emp5Record!F3</f>
        <v>50</v>
      </c>
      <c r="F4" s="13">
        <f>Emp5Record!G3</f>
        <v>0</v>
      </c>
      <c r="G4" s="12">
        <f>Emp5Record!H3</f>
        <v>250</v>
      </c>
      <c r="H4" s="12">
        <f>Emp5Record!I3</f>
        <v>70.67</v>
      </c>
      <c r="I4" s="12">
        <f>Emp5Record!J3</f>
        <v>910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0</v>
      </c>
    </row>
    <row r="5" spans="1:13" ht="16.5" customHeight="1" x14ac:dyDescent="0.4">
      <c r="A5" s="14"/>
      <c r="B5" s="14"/>
      <c r="C5" s="12">
        <f>Emp5Record!O3</f>
        <v>0</v>
      </c>
      <c r="D5" s="13">
        <f>Emp5Record!R3</f>
        <v>0</v>
      </c>
      <c r="E5" s="13">
        <f>Emp5Record!P3</f>
        <v>0</v>
      </c>
      <c r="F5" s="14"/>
      <c r="G5" s="12">
        <f>Emp5Record!Q3</f>
        <v>25</v>
      </c>
      <c r="H5" s="14"/>
      <c r="I5" s="12">
        <f>Emp5Record!K3</f>
        <v>0</v>
      </c>
      <c r="J5" s="13">
        <f>Emp5Record!T3</f>
        <v>0</v>
      </c>
      <c r="K5" s="14"/>
      <c r="L5" s="30"/>
      <c r="M5" s="14"/>
    </row>
    <row r="6" spans="1:13" ht="16.5" customHeight="1" x14ac:dyDescent="0.4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1014</v>
      </c>
      <c r="J6" s="13">
        <f>Emp5Record!U3</f>
        <v>0</v>
      </c>
      <c r="K6" s="15"/>
      <c r="L6" s="30"/>
      <c r="M6" s="15"/>
    </row>
    <row r="7" spans="1:13" ht="16.5" customHeight="1" x14ac:dyDescent="0.4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4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72.8</v>
      </c>
      <c r="J10" s="39">
        <f>Emp5Record!Y3</f>
        <v>0</v>
      </c>
      <c r="K10" s="15"/>
      <c r="L10" s="30"/>
      <c r="M10" s="15"/>
    </row>
    <row r="11" spans="1:13" ht="16.5" customHeight="1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101.4</v>
      </c>
      <c r="J12" s="15"/>
      <c r="K12" s="15"/>
      <c r="L12" s="30"/>
      <c r="M12" s="15"/>
    </row>
    <row r="13" spans="1:13" ht="16.5" customHeight="1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4">
      <c r="A15" s="23">
        <f>A4*'Pay Rates'!B3</f>
        <v>71.28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50</v>
      </c>
      <c r="F15" s="23">
        <f>SUM(F4)</f>
        <v>0</v>
      </c>
      <c r="G15" s="23">
        <f>SUM(G4:G6)</f>
        <v>275</v>
      </c>
      <c r="H15" s="23">
        <f>SUM(H4)</f>
        <v>70.67</v>
      </c>
      <c r="I15" s="23">
        <f>SUM(I10:I14)</f>
        <v>174.2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4">
      <c r="A16" s="19" t="s">
        <v>2</v>
      </c>
      <c r="B16" s="22">
        <f>SUM(A15:M15)</f>
        <v>641.15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4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5" customHeight="1" x14ac:dyDescent="0.3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4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57.68</v>
      </c>
      <c r="E22" s="12">
        <f>Emp6Record!F3</f>
        <v>140</v>
      </c>
      <c r="F22" s="13">
        <f>Emp6Record!G3</f>
        <v>233.33</v>
      </c>
      <c r="G22" s="12">
        <f>Emp6Record!H3</f>
        <v>161.67000000000002</v>
      </c>
      <c r="H22" s="12">
        <f>Emp6Record!I3</f>
        <v>0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0</v>
      </c>
      <c r="M22" s="38">
        <f>'Payroll Summary'!E9</f>
        <v>0</v>
      </c>
    </row>
    <row r="23" spans="1:13" ht="16.5" customHeight="1" x14ac:dyDescent="0.4">
      <c r="A23" s="14"/>
      <c r="B23" s="14"/>
      <c r="C23" s="12">
        <f>Emp6Record!O3</f>
        <v>45.83</v>
      </c>
      <c r="D23" s="13">
        <f>Emp6Record!R3</f>
        <v>0</v>
      </c>
      <c r="E23" s="13">
        <f>Emp6Record!P3</f>
        <v>0</v>
      </c>
      <c r="F23" s="14"/>
      <c r="G23" s="12">
        <f>Emp6Record!Q3</f>
        <v>0</v>
      </c>
      <c r="H23" s="14"/>
      <c r="I23" s="12">
        <f>Emp6Record!K3</f>
        <v>0</v>
      </c>
      <c r="J23" s="13">
        <f>Emp6Record!T3</f>
        <v>0</v>
      </c>
      <c r="K23" s="14"/>
      <c r="L23" s="30"/>
      <c r="M23" s="14"/>
    </row>
    <row r="24" spans="1:13" ht="16.5" customHeight="1" x14ac:dyDescent="0.4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571</v>
      </c>
      <c r="J24" s="13">
        <f>Emp6Record!U3</f>
        <v>0</v>
      </c>
      <c r="K24" s="15"/>
      <c r="L24" s="30"/>
      <c r="M24" s="15"/>
    </row>
    <row r="25" spans="1:13" ht="16.5" customHeight="1" x14ac:dyDescent="0.4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4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5" customHeight="1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57.1</v>
      </c>
      <c r="J30" s="15"/>
      <c r="K30" s="15"/>
      <c r="L30" s="30"/>
      <c r="M30" s="15"/>
    </row>
    <row r="31" spans="1:13" ht="16.5" customHeight="1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4">
      <c r="A33" s="23">
        <f>A22*'Pay Rates'!B3</f>
        <v>0</v>
      </c>
      <c r="B33" s="23">
        <f>B22*'Pay Rates'!B4</f>
        <v>0</v>
      </c>
      <c r="C33" s="23">
        <f>SUM(C22:C23)</f>
        <v>45.83</v>
      </c>
      <c r="D33" s="23">
        <f>SUM(D22:D23)</f>
        <v>57.68</v>
      </c>
      <c r="E33" s="23">
        <f>SUM(E22:E24)</f>
        <v>140</v>
      </c>
      <c r="F33" s="23">
        <f>SUM(F22)</f>
        <v>233.33</v>
      </c>
      <c r="G33" s="23">
        <f>SUM(G22:G24)</f>
        <v>161.67000000000002</v>
      </c>
      <c r="H33" s="23">
        <f>SUM(H22)</f>
        <v>0</v>
      </c>
      <c r="I33" s="23">
        <f>SUM(I28:I32)</f>
        <v>57.1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4">
      <c r="A34" s="19" t="s">
        <v>2</v>
      </c>
      <c r="B34" s="22">
        <f>SUM(A33:M33)</f>
        <v>695.61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topLeftCell="A14" zoomScale="102" workbookViewId="0">
      <selection activeCell="S26" sqref="S26"/>
    </sheetView>
  </sheetViews>
  <sheetFormatPr defaultRowHeight="14.4" x14ac:dyDescent="0.3"/>
  <sheetData>
    <row r="1" spans="1:13" ht="16.5" customHeight="1" x14ac:dyDescent="0.4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4">
      <c r="A4" s="12">
        <f>Emp7Record!B3</f>
        <v>0</v>
      </c>
      <c r="B4" s="13">
        <f>Emp7Record!C3</f>
        <v>0</v>
      </c>
      <c r="C4" s="12">
        <f>Emp7Record!D3</f>
        <v>0</v>
      </c>
      <c r="D4" s="13">
        <f>Emp7Record!E3</f>
        <v>57.68</v>
      </c>
      <c r="E4" s="12">
        <f>Emp7Record!F3</f>
        <v>140</v>
      </c>
      <c r="F4" s="13">
        <f>Emp7Record!G3</f>
        <v>233.33</v>
      </c>
      <c r="G4" s="12">
        <f>Emp7Record!H3</f>
        <v>161.67000000000002</v>
      </c>
      <c r="H4" s="12">
        <f>Emp7Record!I3</f>
        <v>0</v>
      </c>
      <c r="I4" s="12">
        <f>Emp7Record!J3</f>
        <v>0</v>
      </c>
      <c r="J4" s="12">
        <f>Emp7Record!S3</f>
        <v>0</v>
      </c>
      <c r="K4" s="13">
        <f>Emp7Record!AB3</f>
        <v>130</v>
      </c>
      <c r="L4" s="39">
        <f>Emp7Record!AC3</f>
        <v>0</v>
      </c>
      <c r="M4" s="38">
        <f>'Payroll Summary'!E10</f>
        <v>0</v>
      </c>
    </row>
    <row r="5" spans="1:13" ht="16.5" customHeight="1" x14ac:dyDescent="0.4">
      <c r="A5" s="14"/>
      <c r="B5" s="14"/>
      <c r="C5" s="12">
        <f>Emp7Record!O3</f>
        <v>45.83</v>
      </c>
      <c r="D5" s="13">
        <f>Emp7Record!R3</f>
        <v>0</v>
      </c>
      <c r="E5" s="13">
        <f>Emp7Record!P3</f>
        <v>0</v>
      </c>
      <c r="F5" s="14"/>
      <c r="G5" s="12">
        <f>Emp7Record!Q3</f>
        <v>0</v>
      </c>
      <c r="H5" s="14"/>
      <c r="I5" s="12">
        <f>Emp7Record!K3</f>
        <v>0</v>
      </c>
      <c r="J5" s="13">
        <f>Emp7Record!T3</f>
        <v>0</v>
      </c>
      <c r="K5" s="14"/>
      <c r="L5" s="30"/>
      <c r="M5" s="14"/>
    </row>
    <row r="6" spans="1:13" ht="16.5" customHeight="1" x14ac:dyDescent="0.4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571</v>
      </c>
      <c r="J6" s="13">
        <f>Emp7Record!U3</f>
        <v>0</v>
      </c>
      <c r="K6" s="15"/>
      <c r="L6" s="30"/>
      <c r="M6" s="15"/>
    </row>
    <row r="7" spans="1:13" ht="16.5" customHeight="1" x14ac:dyDescent="0.4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4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5" customHeight="1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57.1</v>
      </c>
      <c r="J12" s="15"/>
      <c r="K12" s="15"/>
      <c r="L12" s="30"/>
      <c r="M12" s="15"/>
    </row>
    <row r="13" spans="1:13" ht="16.5" customHeight="1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4">
      <c r="A15" s="23">
        <f>A4*'Pay Rates'!B3</f>
        <v>0</v>
      </c>
      <c r="B15" s="23">
        <f>B4*'Pay Rates'!B4</f>
        <v>0</v>
      </c>
      <c r="C15" s="23">
        <f>SUM(C4:C5)</f>
        <v>45.83</v>
      </c>
      <c r="D15" s="23">
        <f>SUM(D4:D5)</f>
        <v>57.68</v>
      </c>
      <c r="E15" s="23">
        <f>SUM(E4:E6)</f>
        <v>140</v>
      </c>
      <c r="F15" s="23">
        <f>SUM(F4)</f>
        <v>233.33</v>
      </c>
      <c r="G15" s="23">
        <f>SUM(G4:G6)</f>
        <v>161.67000000000002</v>
      </c>
      <c r="H15" s="23">
        <f>SUM(H4)</f>
        <v>0</v>
      </c>
      <c r="I15" s="23">
        <f>SUM(I10:I14)</f>
        <v>57.1</v>
      </c>
      <c r="J15" s="23">
        <f>SUM(J4:J10)</f>
        <v>0</v>
      </c>
      <c r="K15" s="23">
        <f>SUM(K4)</f>
        <v>130</v>
      </c>
      <c r="L15" s="23">
        <f>SUM(L4:L14)</f>
        <v>0</v>
      </c>
      <c r="M15" s="23">
        <f>SUM(M4)</f>
        <v>0</v>
      </c>
    </row>
    <row r="16" spans="1:13" ht="16.5" customHeight="1" x14ac:dyDescent="0.4">
      <c r="A16" s="19" t="s">
        <v>2</v>
      </c>
      <c r="B16" s="22">
        <f>SUM(A15:M15)</f>
        <v>825.61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4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5" customHeight="1" x14ac:dyDescent="0.3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4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130</v>
      </c>
      <c r="L22" s="39">
        <f>Emp8Record!AC3</f>
        <v>0</v>
      </c>
      <c r="M22" s="38">
        <f>'Payroll Summary'!E11</f>
        <v>0</v>
      </c>
    </row>
    <row r="23" spans="1:13" ht="16.5" customHeight="1" x14ac:dyDescent="0.4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>
        <v>40</v>
      </c>
      <c r="M23" s="14"/>
    </row>
    <row r="24" spans="1:13" ht="16.5" customHeight="1" x14ac:dyDescent="0.4">
      <c r="A24" s="15"/>
      <c r="B24" s="15"/>
      <c r="C24" s="14"/>
      <c r="D24" s="14"/>
      <c r="E24" s="12">
        <f>Emp8Record!Z3</f>
        <v>216.67000000000002</v>
      </c>
      <c r="F24" s="15"/>
      <c r="G24" s="12">
        <f>Emp8Record!AA3</f>
        <v>191.67000000000002</v>
      </c>
      <c r="H24" s="15"/>
      <c r="I24" s="12">
        <f>Emp8Record!L3</f>
        <v>0</v>
      </c>
      <c r="J24" s="13">
        <f>Emp8Record!U3</f>
        <v>179.67</v>
      </c>
      <c r="K24" s="15"/>
      <c r="L24" s="30"/>
      <c r="M24" s="15"/>
    </row>
    <row r="25" spans="1:13" ht="16.5" customHeight="1" x14ac:dyDescent="0.4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49.28</v>
      </c>
      <c r="K25" s="15"/>
      <c r="L25" s="30"/>
      <c r="M25" s="15"/>
    </row>
    <row r="26" spans="1:13" ht="16.5" customHeight="1" x14ac:dyDescent="0.4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123.6</v>
      </c>
      <c r="K27" s="15"/>
      <c r="L27" s="30"/>
      <c r="M27" s="15"/>
    </row>
    <row r="28" spans="1:13" ht="16.5" customHeight="1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60.5</v>
      </c>
      <c r="K28" s="15"/>
      <c r="L28" s="30"/>
      <c r="M28" s="15"/>
    </row>
    <row r="29" spans="1:13" ht="16.5" customHeight="1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216.67000000000002</v>
      </c>
      <c r="F33" s="23">
        <f>SUM(F22)</f>
        <v>0</v>
      </c>
      <c r="G33" s="23">
        <f>SUM(G22:G24)</f>
        <v>191.67000000000002</v>
      </c>
      <c r="H33" s="23">
        <f>SUM(H22)</f>
        <v>0</v>
      </c>
      <c r="I33" s="23">
        <f>SUM(I28:I32)</f>
        <v>0</v>
      </c>
      <c r="J33" s="23">
        <f>SUM(J22:J28)</f>
        <v>413.04999999999995</v>
      </c>
      <c r="K33" s="23">
        <f>SUM(K22)</f>
        <v>130</v>
      </c>
      <c r="L33" s="23">
        <f>SUM(L22:L32)</f>
        <v>40</v>
      </c>
      <c r="M33" s="23">
        <f>SUM(M22)</f>
        <v>0</v>
      </c>
    </row>
    <row r="34" spans="1:13" ht="16.5" customHeight="1" x14ac:dyDescent="0.4">
      <c r="A34" s="19" t="s">
        <v>2</v>
      </c>
      <c r="B34" s="22">
        <f>SUM(A33:M33)</f>
        <v>991.39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4.4" x14ac:dyDescent="0.3"/>
  <sheetData>
    <row r="1" spans="1:13" ht="16.5" customHeight="1" x14ac:dyDescent="0.4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4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4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4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4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4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4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4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5" customHeight="1" x14ac:dyDescent="0.3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4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4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4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4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4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4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4.4" x14ac:dyDescent="0.3"/>
  <sheetData>
    <row r="1" spans="1:13" ht="16.5" customHeight="1" x14ac:dyDescent="0.4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4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4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4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4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4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4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4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5" customHeight="1" x14ac:dyDescent="0.3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4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4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4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4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4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4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4.4" x14ac:dyDescent="0.3"/>
  <sheetData>
    <row r="1" spans="1:13" ht="16.5" customHeight="1" x14ac:dyDescent="0.4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4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4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4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4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4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4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4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5" customHeight="1" x14ac:dyDescent="0.3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4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4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4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4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4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4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4.4" x14ac:dyDescent="0.3"/>
  <sheetData>
    <row r="1" spans="1:13" ht="16.5" customHeight="1" x14ac:dyDescent="0.4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4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4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4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4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4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4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4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5" customHeight="1" x14ac:dyDescent="0.3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4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4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4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4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4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4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4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4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4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4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4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4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"/>
  <sheetViews>
    <sheetView zoomScaleNormal="70" workbookViewId="0">
      <selection activeCell="A7" sqref="A7"/>
    </sheetView>
  </sheetViews>
  <sheetFormatPr defaultRowHeight="14.4" x14ac:dyDescent="0.3"/>
  <cols>
    <col min="1" max="1" width="25.77734375" customWidth="1"/>
    <col min="2" max="2" width="13.21875" customWidth="1"/>
    <col min="3" max="3" width="12.21875" customWidth="1"/>
    <col min="5" max="5" width="12.5546875" customWidth="1"/>
    <col min="6" max="6" width="11.21875" customWidth="1"/>
    <col min="7" max="7" width="10.44140625" customWidth="1"/>
    <col min="8" max="8" width="11.44140625" customWidth="1"/>
    <col min="9" max="9" width="10.44140625" customWidth="1"/>
    <col min="17" max="17" width="11.77734375" customWidth="1"/>
    <col min="27" max="27" width="10.5546875" customWidth="1"/>
  </cols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5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250.29</v>
      </c>
      <c r="V3" s="4">
        <f t="shared" si="0"/>
        <v>49.28</v>
      </c>
      <c r="W3" s="4">
        <f t="shared" si="0"/>
        <v>0</v>
      </c>
      <c r="X3" s="4">
        <f t="shared" si="0"/>
        <v>123.6</v>
      </c>
      <c r="Y3" s="4">
        <f t="shared" si="0"/>
        <v>121</v>
      </c>
      <c r="Z3" s="4">
        <f t="shared" si="0"/>
        <v>216.67000000000002</v>
      </c>
      <c r="AA3" s="4">
        <f t="shared" si="0"/>
        <v>191.67000000000002</v>
      </c>
      <c r="AB3" s="41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2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150</v>
      </c>
      <c r="AB7">
        <v>0</v>
      </c>
      <c r="AC7">
        <v>0</v>
      </c>
    </row>
    <row r="8" spans="1:29" x14ac:dyDescent="0.3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34.03</v>
      </c>
      <c r="V8">
        <v>49.28</v>
      </c>
      <c r="W8">
        <v>0</v>
      </c>
      <c r="X8">
        <v>0</v>
      </c>
      <c r="Y8">
        <v>0</v>
      </c>
      <c r="Z8">
        <v>66.67</v>
      </c>
      <c r="AA8">
        <v>41.67</v>
      </c>
      <c r="AB8">
        <v>0</v>
      </c>
      <c r="AC8">
        <v>0</v>
      </c>
    </row>
    <row r="9" spans="1:29" x14ac:dyDescent="0.3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145.63999999999999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70.62</v>
      </c>
      <c r="V10">
        <v>0</v>
      </c>
      <c r="W10">
        <v>0</v>
      </c>
      <c r="X10">
        <v>0</v>
      </c>
      <c r="Y10">
        <v>60.5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t="s">
        <v>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123.6</v>
      </c>
      <c r="Y11">
        <v>60.5</v>
      </c>
      <c r="Z11">
        <v>150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3"/>
  <sheetViews>
    <sheetView topLeftCell="B1" workbookViewId="0">
      <selection activeCell="B3" sqref="B3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57.68</v>
      </c>
      <c r="F3" s="4">
        <f t="shared" si="0"/>
        <v>100</v>
      </c>
      <c r="G3" s="4">
        <f t="shared" si="0"/>
        <v>233.33</v>
      </c>
      <c r="H3" s="4">
        <f t="shared" si="0"/>
        <v>161.67000000000002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1585</v>
      </c>
      <c r="M3" s="4">
        <f t="shared" si="0"/>
        <v>0</v>
      </c>
      <c r="N3" s="4">
        <f t="shared" si="0"/>
        <v>0</v>
      </c>
      <c r="O3" s="4">
        <f t="shared" si="0"/>
        <v>45.83</v>
      </c>
      <c r="P3" s="4">
        <f t="shared" si="0"/>
        <v>0</v>
      </c>
      <c r="Q3" s="4">
        <f t="shared" si="0"/>
        <v>25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534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t="s">
        <v>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480</v>
      </c>
      <c r="M8">
        <v>0</v>
      </c>
      <c r="N8">
        <v>0</v>
      </c>
      <c r="O8">
        <v>0</v>
      </c>
      <c r="P8">
        <v>0</v>
      </c>
      <c r="Q8">
        <v>25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571</v>
      </c>
      <c r="M9">
        <v>0</v>
      </c>
      <c r="N9">
        <v>0</v>
      </c>
      <c r="O9">
        <v>45.83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t="s">
        <v>69</v>
      </c>
      <c r="B10">
        <v>0</v>
      </c>
      <c r="C10">
        <v>0</v>
      </c>
      <c r="D10">
        <v>0</v>
      </c>
      <c r="E10">
        <v>57.68</v>
      </c>
      <c r="F10">
        <v>0</v>
      </c>
      <c r="G10">
        <v>0</v>
      </c>
      <c r="H10">
        <v>50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233.33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t="s">
        <v>71</v>
      </c>
      <c r="B12">
        <v>0</v>
      </c>
      <c r="C12">
        <v>0</v>
      </c>
      <c r="D12">
        <v>0</v>
      </c>
      <c r="E12">
        <v>0</v>
      </c>
      <c r="F12">
        <v>33.33</v>
      </c>
      <c r="G12">
        <v>0</v>
      </c>
      <c r="H12">
        <v>111.67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t="s">
        <v>72</v>
      </c>
      <c r="B13">
        <v>0</v>
      </c>
      <c r="C13">
        <v>0</v>
      </c>
      <c r="D13">
        <v>0</v>
      </c>
      <c r="E13">
        <v>0</v>
      </c>
      <c r="F13">
        <v>66.67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0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792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50</v>
      </c>
      <c r="G3" s="4">
        <f t="shared" si="0"/>
        <v>0</v>
      </c>
      <c r="H3" s="4">
        <f t="shared" si="0"/>
        <v>50</v>
      </c>
      <c r="I3" s="4">
        <f t="shared" si="0"/>
        <v>70.67</v>
      </c>
      <c r="J3" s="4">
        <f t="shared" si="0"/>
        <v>910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104.65</v>
      </c>
      <c r="V3" s="4">
        <f t="shared" si="0"/>
        <v>49.28</v>
      </c>
      <c r="W3" s="4">
        <f t="shared" si="0"/>
        <v>0</v>
      </c>
      <c r="X3" s="4">
        <f t="shared" si="0"/>
        <v>0</v>
      </c>
      <c r="Y3" s="4">
        <f t="shared" si="0"/>
        <v>60.5</v>
      </c>
      <c r="Z3" s="4">
        <f t="shared" si="0"/>
        <v>66.67</v>
      </c>
      <c r="AA3" s="4">
        <f t="shared" si="0"/>
        <v>41.67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910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t="s">
        <v>74</v>
      </c>
      <c r="B8">
        <v>792</v>
      </c>
      <c r="C8">
        <v>0</v>
      </c>
      <c r="D8">
        <v>0</v>
      </c>
      <c r="E8">
        <v>0</v>
      </c>
      <c r="F8">
        <v>50</v>
      </c>
      <c r="G8">
        <v>0</v>
      </c>
      <c r="H8">
        <v>50</v>
      </c>
      <c r="I8">
        <v>70.67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34.03</v>
      </c>
      <c r="V9">
        <v>49.28</v>
      </c>
      <c r="W9">
        <v>0</v>
      </c>
      <c r="X9">
        <v>0</v>
      </c>
      <c r="Y9">
        <v>0</v>
      </c>
      <c r="Z9">
        <v>66.67</v>
      </c>
      <c r="AA9">
        <v>41.67</v>
      </c>
      <c r="AB9">
        <v>0</v>
      </c>
      <c r="AC9">
        <v>0</v>
      </c>
    </row>
    <row r="10" spans="1:29" x14ac:dyDescent="0.3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70.62</v>
      </c>
      <c r="V10">
        <v>0</v>
      </c>
      <c r="W10">
        <v>0</v>
      </c>
      <c r="X10">
        <v>0</v>
      </c>
      <c r="Y10">
        <v>60.5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9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792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50</v>
      </c>
      <c r="G3" s="4">
        <f t="shared" si="0"/>
        <v>0</v>
      </c>
      <c r="H3" s="4">
        <f t="shared" si="0"/>
        <v>250</v>
      </c>
      <c r="I3" s="4">
        <f t="shared" si="0"/>
        <v>70.67</v>
      </c>
      <c r="J3" s="4">
        <f t="shared" si="0"/>
        <v>910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200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t="s">
        <v>73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910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74</v>
      </c>
      <c r="B9">
        <v>792</v>
      </c>
      <c r="C9">
        <v>0</v>
      </c>
      <c r="D9">
        <v>0</v>
      </c>
      <c r="E9">
        <v>0</v>
      </c>
      <c r="F9">
        <v>50</v>
      </c>
      <c r="G9">
        <v>0</v>
      </c>
      <c r="H9">
        <v>50</v>
      </c>
      <c r="I9">
        <v>70.67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1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792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50</v>
      </c>
      <c r="G3" s="4">
        <f t="shared" si="0"/>
        <v>0</v>
      </c>
      <c r="H3" s="4">
        <f t="shared" si="0"/>
        <v>250</v>
      </c>
      <c r="I3" s="4">
        <f t="shared" si="0"/>
        <v>70.67</v>
      </c>
      <c r="J3" s="4">
        <f t="shared" si="0"/>
        <v>910</v>
      </c>
      <c r="K3" s="4">
        <f t="shared" si="0"/>
        <v>0</v>
      </c>
      <c r="L3" s="4">
        <f t="shared" si="0"/>
        <v>1014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25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534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t="s">
        <v>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480</v>
      </c>
      <c r="M8">
        <v>0</v>
      </c>
      <c r="N8">
        <v>0</v>
      </c>
      <c r="O8">
        <v>0</v>
      </c>
      <c r="P8">
        <v>0</v>
      </c>
      <c r="Q8">
        <v>25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910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t="s">
        <v>74</v>
      </c>
      <c r="B11">
        <v>792</v>
      </c>
      <c r="C11">
        <v>0</v>
      </c>
      <c r="D11">
        <v>0</v>
      </c>
      <c r="E11">
        <v>0</v>
      </c>
      <c r="F11">
        <v>50</v>
      </c>
      <c r="G11">
        <v>0</v>
      </c>
      <c r="H11">
        <v>50</v>
      </c>
      <c r="I11">
        <v>70.67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2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76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57.68</v>
      </c>
      <c r="F3" s="4">
        <f t="shared" si="0"/>
        <v>140</v>
      </c>
      <c r="G3" s="4">
        <f t="shared" si="0"/>
        <v>233.33</v>
      </c>
      <c r="H3" s="4">
        <f t="shared" si="0"/>
        <v>161.67000000000002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571</v>
      </c>
      <c r="M3" s="4">
        <f t="shared" si="0"/>
        <v>0</v>
      </c>
      <c r="N3" s="4">
        <f t="shared" si="0"/>
        <v>0</v>
      </c>
      <c r="O3" s="4">
        <f t="shared" si="0"/>
        <v>45.83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571</v>
      </c>
      <c r="M7">
        <v>0</v>
      </c>
      <c r="N7">
        <v>0</v>
      </c>
      <c r="O7">
        <v>45.83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t="s">
        <v>69</v>
      </c>
      <c r="B8">
        <v>0</v>
      </c>
      <c r="C8">
        <v>0</v>
      </c>
      <c r="D8">
        <v>0</v>
      </c>
      <c r="E8">
        <v>57.68</v>
      </c>
      <c r="F8">
        <v>0</v>
      </c>
      <c r="G8">
        <v>0</v>
      </c>
      <c r="H8">
        <v>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233.33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t="s">
        <v>71</v>
      </c>
      <c r="B10">
        <v>0</v>
      </c>
      <c r="C10">
        <v>0</v>
      </c>
      <c r="D10">
        <v>0</v>
      </c>
      <c r="E10">
        <v>0</v>
      </c>
      <c r="F10">
        <v>33.33</v>
      </c>
      <c r="G10">
        <v>0</v>
      </c>
      <c r="H10">
        <v>111.67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t="s">
        <v>72</v>
      </c>
      <c r="B11">
        <v>0</v>
      </c>
      <c r="C11">
        <v>0</v>
      </c>
      <c r="D11">
        <v>0</v>
      </c>
      <c r="E11">
        <v>0</v>
      </c>
      <c r="F11">
        <v>66.67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t="s">
        <v>77</v>
      </c>
      <c r="B12">
        <v>0</v>
      </c>
      <c r="C12">
        <v>0</v>
      </c>
      <c r="D12">
        <v>0</v>
      </c>
      <c r="E12">
        <v>0</v>
      </c>
      <c r="F12">
        <v>40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57.68</v>
      </c>
      <c r="F3" s="4">
        <f t="shared" si="0"/>
        <v>140</v>
      </c>
      <c r="G3" s="4">
        <f t="shared" si="0"/>
        <v>233.33</v>
      </c>
      <c r="H3" s="4">
        <f t="shared" si="0"/>
        <v>161.67000000000002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571</v>
      </c>
      <c r="M3" s="4">
        <f t="shared" si="0"/>
        <v>0</v>
      </c>
      <c r="N3" s="4">
        <f t="shared" si="0"/>
        <v>0</v>
      </c>
      <c r="O3" s="4">
        <f t="shared" si="0"/>
        <v>45.83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130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130</v>
      </c>
      <c r="AC7">
        <v>0</v>
      </c>
    </row>
    <row r="8" spans="1:29" x14ac:dyDescent="0.3">
      <c r="A8" t="s">
        <v>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571</v>
      </c>
      <c r="M8">
        <v>0</v>
      </c>
      <c r="N8">
        <v>0</v>
      </c>
      <c r="O8">
        <v>45.83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69</v>
      </c>
      <c r="B9">
        <v>0</v>
      </c>
      <c r="C9">
        <v>0</v>
      </c>
      <c r="D9">
        <v>0</v>
      </c>
      <c r="E9">
        <v>57.68</v>
      </c>
      <c r="F9">
        <v>0</v>
      </c>
      <c r="G9">
        <v>0</v>
      </c>
      <c r="H9">
        <v>50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t="s">
        <v>70</v>
      </c>
      <c r="B10">
        <v>0</v>
      </c>
      <c r="C10">
        <v>0</v>
      </c>
      <c r="D10">
        <v>0</v>
      </c>
      <c r="E10">
        <v>0</v>
      </c>
      <c r="F10">
        <v>0</v>
      </c>
      <c r="G10">
        <v>233.33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t="s">
        <v>71</v>
      </c>
      <c r="B11">
        <v>0</v>
      </c>
      <c r="C11">
        <v>0</v>
      </c>
      <c r="D11">
        <v>0</v>
      </c>
      <c r="E11">
        <v>0</v>
      </c>
      <c r="F11">
        <v>33.33</v>
      </c>
      <c r="G11">
        <v>0</v>
      </c>
      <c r="H11">
        <v>111.67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t="s">
        <v>72</v>
      </c>
      <c r="B12">
        <v>0</v>
      </c>
      <c r="C12">
        <v>0</v>
      </c>
      <c r="D12">
        <v>0</v>
      </c>
      <c r="E12">
        <v>0</v>
      </c>
      <c r="F12">
        <v>66.67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t="s">
        <v>77</v>
      </c>
      <c r="B13">
        <v>0</v>
      </c>
      <c r="C13">
        <v>0</v>
      </c>
      <c r="D13">
        <v>0</v>
      </c>
      <c r="E13">
        <v>0</v>
      </c>
      <c r="F13">
        <v>40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1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179.67</v>
      </c>
      <c r="V3" s="4">
        <f t="shared" si="0"/>
        <v>49.28</v>
      </c>
      <c r="W3" s="4">
        <f t="shared" si="0"/>
        <v>0</v>
      </c>
      <c r="X3" s="4">
        <f t="shared" si="0"/>
        <v>123.6</v>
      </c>
      <c r="Y3" s="4">
        <f t="shared" si="0"/>
        <v>60.5</v>
      </c>
      <c r="Z3" s="4">
        <f t="shared" si="0"/>
        <v>216.67000000000002</v>
      </c>
      <c r="AA3" s="4">
        <f t="shared" si="0"/>
        <v>191.67000000000002</v>
      </c>
      <c r="AB3" s="4">
        <f t="shared" si="0"/>
        <v>130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150</v>
      </c>
      <c r="AB7">
        <v>0</v>
      </c>
      <c r="AC7">
        <v>0</v>
      </c>
    </row>
    <row r="8" spans="1:29" x14ac:dyDescent="0.3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34.03</v>
      </c>
      <c r="V8">
        <v>49.28</v>
      </c>
      <c r="W8">
        <v>0</v>
      </c>
      <c r="X8">
        <v>0</v>
      </c>
      <c r="Y8">
        <v>0</v>
      </c>
      <c r="Z8">
        <v>66.67</v>
      </c>
      <c r="AA8">
        <v>41.67</v>
      </c>
      <c r="AB8">
        <v>0</v>
      </c>
      <c r="AC8">
        <v>0</v>
      </c>
    </row>
    <row r="9" spans="1:29" x14ac:dyDescent="0.3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145.63999999999999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t="s">
        <v>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130</v>
      </c>
      <c r="AC10">
        <v>0</v>
      </c>
    </row>
    <row r="11" spans="1:29" x14ac:dyDescent="0.3">
      <c r="A11" t="s">
        <v>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123.6</v>
      </c>
      <c r="Y11">
        <v>60.5</v>
      </c>
      <c r="Z11">
        <v>150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77734375" defaultRowHeight="16.8" x14ac:dyDescent="0.4"/>
  <cols>
    <col min="1" max="1" width="21.21875" style="11" customWidth="1"/>
    <col min="2" max="2" width="16.21875" style="11" customWidth="1"/>
    <col min="3" max="3" width="8.77734375" style="11" customWidth="1"/>
    <col min="4" max="16384" width="8.77734375" style="11"/>
  </cols>
  <sheetData>
    <row r="1" spans="1:2" x14ac:dyDescent="0.4">
      <c r="A1" s="24" t="s">
        <v>79</v>
      </c>
    </row>
    <row r="2" spans="1:2" x14ac:dyDescent="0.4">
      <c r="A2" s="25" t="s">
        <v>80</v>
      </c>
      <c r="B2" s="25" t="s">
        <v>81</v>
      </c>
    </row>
    <row r="3" spans="1:2" x14ac:dyDescent="0.4">
      <c r="A3" s="26" t="s">
        <v>82</v>
      </c>
      <c r="B3" s="27">
        <v>0.09</v>
      </c>
    </row>
    <row r="4" spans="1:2" x14ac:dyDescent="0.4">
      <c r="A4" s="26" t="s">
        <v>83</v>
      </c>
      <c r="B4" s="27">
        <v>0.1</v>
      </c>
    </row>
    <row r="5" spans="1:2" x14ac:dyDescent="0.4">
      <c r="A5" s="26" t="s">
        <v>84</v>
      </c>
      <c r="B5" s="27">
        <v>2.5</v>
      </c>
    </row>
    <row r="6" spans="1:2" x14ac:dyDescent="0.4">
      <c r="A6" s="26" t="s">
        <v>85</v>
      </c>
      <c r="B6" s="27">
        <v>0.2</v>
      </c>
    </row>
    <row r="7" spans="1:2" x14ac:dyDescent="0.4">
      <c r="A7" s="26" t="s">
        <v>86</v>
      </c>
      <c r="B7" s="27">
        <v>0.06</v>
      </c>
    </row>
    <row r="8" spans="1:2" x14ac:dyDescent="0.4">
      <c r="A8" s="26" t="s">
        <v>87</v>
      </c>
      <c r="B8" s="27">
        <v>0.06</v>
      </c>
    </row>
    <row r="9" spans="1:2" x14ac:dyDescent="0.4">
      <c r="A9" s="26" t="s">
        <v>88</v>
      </c>
      <c r="B9" s="27">
        <v>0.08</v>
      </c>
    </row>
    <row r="10" spans="1:2" x14ac:dyDescent="0.4">
      <c r="A10" s="26" t="s">
        <v>89</v>
      </c>
      <c r="B10" s="27">
        <v>0.08</v>
      </c>
    </row>
    <row r="11" spans="1:2" x14ac:dyDescent="0.4">
      <c r="A11" s="26" t="s">
        <v>90</v>
      </c>
      <c r="B11" s="27">
        <v>0.09</v>
      </c>
    </row>
    <row r="12" spans="1:2" x14ac:dyDescent="0.4">
      <c r="A12" s="26" t="s">
        <v>91</v>
      </c>
      <c r="B12" s="27">
        <v>0.1</v>
      </c>
    </row>
    <row r="13" spans="1:2" x14ac:dyDescent="0.4">
      <c r="A13" s="26" t="s">
        <v>92</v>
      </c>
      <c r="B13" s="27">
        <v>0.11</v>
      </c>
    </row>
    <row r="14" spans="1:2" x14ac:dyDescent="0.4">
      <c r="A14" s="26" t="s">
        <v>93</v>
      </c>
      <c r="B14" s="27">
        <v>0.1</v>
      </c>
    </row>
    <row r="15" spans="1:2" x14ac:dyDescent="0.4">
      <c r="A15" s="26" t="s">
        <v>94</v>
      </c>
      <c r="B15" s="27">
        <v>0.22</v>
      </c>
    </row>
    <row r="16" spans="1:2" x14ac:dyDescent="0.4">
      <c r="A16" s="26" t="s">
        <v>95</v>
      </c>
      <c r="B16" s="27">
        <v>0.22</v>
      </c>
    </row>
    <row r="17" spans="1:2" x14ac:dyDescent="0.4">
      <c r="A17" s="26" t="s">
        <v>96</v>
      </c>
      <c r="B17" s="27">
        <v>0.33</v>
      </c>
    </row>
    <row r="18" spans="1:2" x14ac:dyDescent="0.4">
      <c r="A18" s="26" t="s">
        <v>97</v>
      </c>
      <c r="B18" s="27">
        <v>0.2</v>
      </c>
    </row>
    <row r="19" spans="1:2" x14ac:dyDescent="0.4">
      <c r="A19" s="26" t="s">
        <v>98</v>
      </c>
      <c r="B19" s="27">
        <v>0.22</v>
      </c>
    </row>
    <row r="20" spans="1:2" x14ac:dyDescent="0.4">
      <c r="A20" s="26" t="s">
        <v>84</v>
      </c>
      <c r="B20" s="27">
        <v>2.5</v>
      </c>
    </row>
    <row r="21" spans="1:2" x14ac:dyDescent="0.4">
      <c r="A21" s="26" t="s">
        <v>99</v>
      </c>
      <c r="B21" s="27">
        <v>130</v>
      </c>
    </row>
    <row r="22" spans="1:2" x14ac:dyDescent="0.4">
      <c r="A22" t="s">
        <v>100</v>
      </c>
      <c r="B22">
        <v>0.15</v>
      </c>
    </row>
    <row r="23" spans="1:2" x14ac:dyDescent="0.4">
      <c r="A23" t="s">
        <v>101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cp:lastPrinted>2023-01-26T00:09:34Z</cp:lastPrinted>
  <dcterms:created xsi:type="dcterms:W3CDTF">2022-11-20T15:26:13Z</dcterms:created>
  <dcterms:modified xsi:type="dcterms:W3CDTF">2026-03-26T13:57:26Z</dcterms:modified>
</cp:coreProperties>
</file>