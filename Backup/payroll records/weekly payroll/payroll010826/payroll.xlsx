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841" firstSheet="0" activeTab="0" autoFilterDateGrouping="1"/>
  </bookViews>
  <sheets>
    <sheet name="Payroll Summary" sheetId="1" state="visible" r:id="rId1"/>
    <sheet name="Emp1&amp;Emp2" sheetId="2" state="visible" r:id="rId2"/>
    <sheet name="Emp3&amp;Emp4" sheetId="3" state="visible" r:id="rId3"/>
    <sheet name="Emp5&amp;Emp6" sheetId="4" state="visible" r:id="rId4"/>
    <sheet name="Emp7&amp;Emp8" sheetId="5" state="visible" r:id="rId5"/>
    <sheet name="Emp9&amp;Emp10" sheetId="6" state="visible" r:id="rId6"/>
    <sheet name="Emp11&amp;Emp12" sheetId="7" state="visible" r:id="rId7"/>
    <sheet name="Emp13&amp;Emp14" sheetId="8" state="visible" r:id="rId8"/>
    <sheet name="Emp15&amp;Open" sheetId="9" state="visible" r:id="rId9"/>
    <sheet name="Emp1Record" sheetId="10" state="visible" r:id="rId10"/>
    <sheet name="Emp2Record" sheetId="11" state="visible" r:id="rId11"/>
    <sheet name="Emp3Record" sheetId="12" state="visible" r:id="rId12"/>
    <sheet name="Emp4Record" sheetId="13" state="visible" r:id="rId13"/>
    <sheet name="Emp5Record" sheetId="14" state="visible" r:id="rId14"/>
    <sheet name="Emp6Record" sheetId="15" state="visible" r:id="rId15"/>
    <sheet name="Emp7Record" sheetId="16" state="visible" r:id="rId16"/>
    <sheet name="Emp8Record" sheetId="17" state="visible" r:id="rId17"/>
    <sheet name="Emp9Record" sheetId="18" state="visible" r:id="rId18"/>
    <sheet name="Emp10Record" sheetId="19" state="visible" r:id="rId19"/>
    <sheet name="Emp11Record" sheetId="20" state="visible" r:id="rId20"/>
    <sheet name="Emp12Record" sheetId="21" state="visible" r:id="rId21"/>
    <sheet name="Emp13Record" sheetId="22" state="visible" r:id="rId22"/>
    <sheet name="Emp14Record" sheetId="23" state="visible" r:id="rId23"/>
    <sheet name="Emp15Record" sheetId="24" state="visible" r:id="rId24"/>
    <sheet name="Pay Rates" sheetId="25" state="visible" r:id="rId2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6">
    <font>
      <name val="Calibri"/>
      <family val="2"/>
      <color theme="1"/>
      <sz val="11"/>
      <scheme val="minor"/>
    </font>
    <font>
      <name val="Segoe UI"/>
      <family val="2"/>
      <color theme="1"/>
      <sz val="10"/>
    </font>
    <font>
      <name val="Segoe UI"/>
      <family val="2"/>
      <color rgb="FF000000"/>
      <sz val="10"/>
    </font>
    <font>
      <name val="Segoe UI"/>
      <family val="2"/>
      <b val="1"/>
      <color theme="1"/>
      <sz val="10"/>
    </font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8">
    <fill>
      <patternFill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4" fillId="0" borderId="0"/>
    <xf numFmtId="44" fontId="4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wrapText="1"/>
    </xf>
    <xf numFmtId="0" fontId="2" fillId="2" borderId="3" applyAlignment="1" pivotButton="0" quotePrefix="0" xfId="0">
      <alignment wrapText="1"/>
    </xf>
    <xf numFmtId="0" fontId="1" fillId="0" borderId="2" pivotButton="0" quotePrefix="0" xfId="0"/>
    <xf numFmtId="0" fontId="2" fillId="2" borderId="1" applyAlignment="1" pivotButton="0" quotePrefix="0" xfId="0">
      <alignment horizontal="center" wrapText="1"/>
    </xf>
    <xf numFmtId="0" fontId="2" fillId="2" borderId="3" applyAlignment="1" pivotButton="0" quotePrefix="0" xfId="0">
      <alignment horizontal="center" wrapText="1"/>
    </xf>
    <xf numFmtId="0" fontId="1" fillId="3" borderId="2" applyAlignment="1" pivotButton="0" quotePrefix="0" xfId="0">
      <alignment horizontal="center"/>
    </xf>
    <xf numFmtId="0" fontId="3" fillId="0" borderId="0" pivotButton="0" quotePrefix="0" xfId="0"/>
    <xf numFmtId="0" fontId="1" fillId="3" borderId="0" pivotButton="0" quotePrefix="0" xfId="0"/>
    <xf numFmtId="0" fontId="1" fillId="3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5" fillId="0" borderId="3" pivotButton="0" quotePrefix="0" xfId="0"/>
    <xf numFmtId="0" fontId="5" fillId="3" borderId="7" pivotButton="0" quotePrefix="0" xfId="0"/>
    <xf numFmtId="0" fontId="5" fillId="3" borderId="6" pivotButton="0" quotePrefix="0" xfId="0"/>
    <xf numFmtId="0" fontId="5" fillId="3" borderId="1" pivotButton="0" quotePrefix="0" xfId="0"/>
    <xf numFmtId="0" fontId="5" fillId="3" borderId="8" pivotButton="0" quotePrefix="0" xfId="0"/>
    <xf numFmtId="0" fontId="5" fillId="0" borderId="9" pivotButton="0" quotePrefix="0" xfId="0"/>
    <xf numFmtId="0" fontId="5" fillId="3" borderId="3" pivotButton="0" quotePrefix="0" xfId="0"/>
    <xf numFmtId="0" fontId="5" fillId="3" borderId="4" pivotButton="0" quotePrefix="0" xfId="0"/>
    <xf numFmtId="0" fontId="5" fillId="3" borderId="5" pivotButton="0" quotePrefix="0" xfId="0"/>
    <xf numFmtId="164" fontId="5" fillId="3" borderId="4" pivotButton="0" quotePrefix="0" xfId="1"/>
    <xf numFmtId="164" fontId="5" fillId="0" borderId="1" pivotButton="0" quotePrefix="0" xfId="0"/>
    <xf numFmtId="0" fontId="5" fillId="3" borderId="0" pivotButton="0" quotePrefix="0" xfId="0"/>
    <xf numFmtId="0" fontId="5" fillId="6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2" fontId="5" fillId="5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6" borderId="1" pivotButton="0" quotePrefix="0" xfId="0"/>
    <xf numFmtId="2" fontId="5" fillId="6" borderId="1" pivotButton="0" quotePrefix="0" xfId="1"/>
    <xf numFmtId="2" fontId="5" fillId="0" borderId="1" pivotButton="0" quotePrefix="0" xfId="0"/>
    <xf numFmtId="2" fontId="5" fillId="0" borderId="1" applyAlignment="1" pivotButton="0" quotePrefix="0" xfId="1">
      <alignment horizontal="left"/>
    </xf>
    <xf numFmtId="2" fontId="5" fillId="0" borderId="1" applyAlignment="1" pivotButton="0" quotePrefix="0" xfId="0">
      <alignment horizontal="left"/>
    </xf>
    <xf numFmtId="2" fontId="5" fillId="6" borderId="1" applyAlignment="1" pivotButton="0" quotePrefix="0" xfId="0">
      <alignment horizontal="left"/>
    </xf>
    <xf numFmtId="2" fontId="5" fillId="6" borderId="1" applyAlignment="1" pivotButton="0" quotePrefix="0" xfId="1">
      <alignment horizontal="left"/>
    </xf>
    <xf numFmtId="2" fontId="5" fillId="7" borderId="1" applyAlignment="1" pivotButton="0" quotePrefix="0" xfId="0">
      <alignment horizontal="left"/>
    </xf>
    <xf numFmtId="2" fontId="5" fillId="7" borderId="1" pivotButton="0" quotePrefix="0" xfId="0"/>
    <xf numFmtId="0" fontId="5" fillId="7" borderId="1" pivotButton="0" quotePrefix="0" xfId="0"/>
    <xf numFmtId="0" fontId="1" fillId="3" borderId="10" applyAlignment="1" pivotButton="0" quotePrefix="0" xfId="0">
      <alignment horizontal="center"/>
    </xf>
    <xf numFmtId="0" fontId="1" fillId="0" borderId="10" pivotButton="0" quotePrefix="0" xfId="0"/>
    <xf numFmtId="0" fontId="0" fillId="0" borderId="1" pivotButton="0" quotePrefix="0" xfId="0"/>
    <xf numFmtId="0" fontId="2" fillId="2" borderId="11" applyAlignment="1" pivotButton="0" quotePrefix="0" xfId="0">
      <alignment wrapText="1"/>
    </xf>
    <xf numFmtId="164" fontId="5" fillId="0" borderId="1" pivotButton="0" quotePrefix="0" xfId="0"/>
    <xf numFmtId="164" fontId="5" fillId="3" borderId="4" pivotButton="0" quotePrefix="0" xfId="1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topLeftCell="A16" zoomScale="96" workbookViewId="0">
      <selection activeCell="C27" sqref="C27"/>
    </sheetView>
  </sheetViews>
  <sheetFormatPr baseColWidth="8" defaultColWidth="8.81640625" defaultRowHeight="16.5"/>
  <cols>
    <col width="28.7265625" customWidth="1" style="11" min="1" max="1"/>
    <col width="15.7265625" customWidth="1" style="11" min="2" max="2"/>
    <col width="13.26953125" customWidth="1" style="11" min="3" max="3"/>
    <col width="13.81640625" customWidth="1" style="11" min="4" max="4"/>
    <col width="15.26953125" customWidth="1" style="11" min="5" max="5"/>
    <col width="8.81640625" customWidth="1" style="11" min="6" max="16384"/>
  </cols>
  <sheetData>
    <row r="1">
      <c r="A1" s="24" t="inlineStr">
        <is>
          <t>Payroll Summary</t>
        </is>
      </c>
    </row>
    <row r="3">
      <c r="A3" s="28" t="inlineStr">
        <is>
          <t>Employee Name</t>
        </is>
      </c>
      <c r="B3" s="28" t="inlineStr">
        <is>
          <t>Total Pay</t>
        </is>
      </c>
      <c r="C3" s="16" t="inlineStr">
        <is>
          <t>Work Wages</t>
        </is>
      </c>
      <c r="D3" s="16" t="inlineStr">
        <is>
          <t>Vacation</t>
        </is>
      </c>
      <c r="E3" s="16" t="inlineStr">
        <is>
          <t>Holiday</t>
        </is>
      </c>
    </row>
    <row r="4">
      <c r="A4" s="29">
        <f>'Emp1&amp;Emp2'!B1</f>
        <v/>
      </c>
      <c r="B4" s="33">
        <f>SUM(C4:E4)</f>
        <v/>
      </c>
      <c r="C4" s="34">
        <f>SUM('Emp1&amp;Emp2'!A15:J15,'Emp1&amp;Emp2'!L15)</f>
        <v/>
      </c>
      <c r="D4" s="37">
        <f>'Emp1&amp;Emp2'!K4</f>
        <v/>
      </c>
      <c r="E4" s="35" t="n"/>
    </row>
    <row r="5">
      <c r="A5" s="29">
        <f>'Emp1&amp;Emp2'!B19</f>
        <v/>
      </c>
      <c r="B5" s="33">
        <f>SUM(C5:E5)</f>
        <v/>
      </c>
      <c r="C5" s="34">
        <f>SUM('Emp1&amp;Emp2'!A33:J33,'Emp1&amp;Emp2'!L33)</f>
        <v/>
      </c>
      <c r="D5" s="37">
        <f>'Emp1&amp;Emp2'!K22</f>
        <v/>
      </c>
      <c r="E5" s="36" t="n"/>
    </row>
    <row r="6">
      <c r="A6" s="29">
        <f>'Emp3&amp;Emp4'!B1</f>
        <v/>
      </c>
      <c r="B6" s="33">
        <f>SUM(C6:E6)</f>
        <v/>
      </c>
      <c r="C6" s="34">
        <f>SUM('Emp3&amp;Emp4'!A15:J15,'Emp3&amp;Emp4'!L15)</f>
        <v/>
      </c>
      <c r="D6" s="37">
        <f>'Emp3&amp;Emp4'!K4</f>
        <v/>
      </c>
      <c r="E6" s="35" t="n"/>
    </row>
    <row r="7">
      <c r="A7" s="29">
        <f>'Emp3&amp;Emp4'!B19</f>
        <v/>
      </c>
      <c r="B7" s="33">
        <f>SUM(C7:E7)</f>
        <v/>
      </c>
      <c r="C7" s="34">
        <f>SUM('Emp3&amp;Emp4'!A33:J33,'Emp3&amp;Emp4'!L33)</f>
        <v/>
      </c>
      <c r="D7" s="37">
        <f>'Emp3&amp;Emp4'!K22</f>
        <v/>
      </c>
      <c r="E7" s="35" t="n"/>
    </row>
    <row r="8">
      <c r="A8" s="29">
        <f>'Emp5&amp;Emp6'!B1</f>
        <v/>
      </c>
      <c r="B8" s="33">
        <f>SUM(C8:E8)</f>
        <v/>
      </c>
      <c r="C8" s="34">
        <f>SUM('Emp5&amp;Emp6'!A15:J15,'Emp5&amp;Emp6'!L15)</f>
        <v/>
      </c>
      <c r="D8" s="37">
        <f>'Emp5&amp;Emp6'!K4</f>
        <v/>
      </c>
      <c r="E8" s="35" t="n"/>
    </row>
    <row r="9">
      <c r="A9" s="29">
        <f>'Emp5&amp;Emp6'!B19</f>
        <v/>
      </c>
      <c r="B9" s="33">
        <f>SUM(C9:E9)</f>
        <v/>
      </c>
      <c r="C9" s="34">
        <f>SUM('Emp5&amp;Emp6'!A33:J33,'Emp5&amp;Emp6'!L33)</f>
        <v/>
      </c>
      <c r="D9" s="37">
        <f>'Emp5&amp;Emp6'!K22</f>
        <v/>
      </c>
      <c r="E9" s="35" t="n"/>
    </row>
    <row r="10">
      <c r="A10" s="29">
        <f>'Emp7&amp;Emp8'!B1</f>
        <v/>
      </c>
      <c r="B10" s="33">
        <f>SUM(C10:E10)</f>
        <v/>
      </c>
      <c r="C10" s="34">
        <f>SUM('Emp7&amp;Emp8'!A15:J15,'Emp7&amp;Emp8'!L15)</f>
        <v/>
      </c>
      <c r="D10" s="37">
        <f>'Emp7&amp;Emp8'!K4</f>
        <v/>
      </c>
      <c r="E10" s="35" t="n"/>
    </row>
    <row r="11">
      <c r="A11" s="29">
        <f>'Emp7&amp;Emp8'!B19</f>
        <v/>
      </c>
      <c r="B11" s="33">
        <f>SUM(C11:E11)</f>
        <v/>
      </c>
      <c r="C11" s="34">
        <f>SUM('Emp7&amp;Emp8'!A33:J33,'Emp7&amp;Emp8'!L33)</f>
        <v/>
      </c>
      <c r="D11" s="37">
        <f>'Emp7&amp;Emp8'!K22</f>
        <v/>
      </c>
      <c r="E11" s="35" t="n"/>
    </row>
    <row r="12">
      <c r="A12" s="29">
        <f>'Emp9&amp;Emp10'!B1</f>
        <v/>
      </c>
      <c r="B12" s="33">
        <f>SUM(C12:E12)</f>
        <v/>
      </c>
      <c r="C12" s="34">
        <f>SUM('Emp9&amp;Emp10'!A15:J15,'Emp9&amp;Emp10'!L15)</f>
        <v/>
      </c>
      <c r="D12" s="37">
        <f>'Emp9&amp;Emp10'!K4</f>
        <v/>
      </c>
      <c r="E12" s="35" t="n"/>
    </row>
    <row r="13">
      <c r="A13" s="29">
        <f>'Emp9&amp;Emp10'!B19</f>
        <v/>
      </c>
      <c r="B13" s="33">
        <f>SUM(C13:E13)</f>
        <v/>
      </c>
      <c r="C13" s="34">
        <f>SUM('Emp9&amp;Emp10'!A33:J33,'Emp9&amp;Emp10'!L33)</f>
        <v/>
      </c>
      <c r="D13" s="37">
        <f>'Emp9&amp;Emp10'!K22</f>
        <v/>
      </c>
      <c r="E13" s="35" t="n"/>
    </row>
    <row r="14">
      <c r="A14" s="29">
        <f>'Emp11&amp;Emp12'!B1</f>
        <v/>
      </c>
      <c r="B14" s="33">
        <f>SUM(C14:E14)</f>
        <v/>
      </c>
      <c r="C14" s="34">
        <f>SUM('Emp11&amp;Emp12'!A15:J15,'Emp11&amp;Emp12'!L15)</f>
        <v/>
      </c>
      <c r="D14" s="37">
        <f>'Emp11&amp;Emp12'!K4</f>
        <v/>
      </c>
      <c r="E14" s="35" t="n"/>
    </row>
    <row r="15">
      <c r="A15" s="29">
        <f>'Emp11&amp;Emp12'!B19</f>
        <v/>
      </c>
      <c r="B15" s="33">
        <f>SUM(C15:E15)</f>
        <v/>
      </c>
      <c r="C15" s="34">
        <f>SUM('Emp11&amp;Emp12'!A33:J33,'Emp11&amp;Emp12'!L33)</f>
        <v/>
      </c>
      <c r="D15" s="37">
        <f>'Emp11&amp;Emp12'!K22</f>
        <v/>
      </c>
      <c r="E15" s="35" t="n"/>
    </row>
    <row r="16">
      <c r="A16" s="29">
        <f>'Emp13&amp;Emp14'!B1</f>
        <v/>
      </c>
      <c r="B16" s="33">
        <f>SUM(C16:E16)</f>
        <v/>
      </c>
      <c r="C16" s="34">
        <f>SUM('Emp13&amp;Emp14'!A15:J15,'Emp13&amp;Emp14'!L15)</f>
        <v/>
      </c>
      <c r="D16" s="37">
        <f>'Emp13&amp;Emp14'!K4</f>
        <v/>
      </c>
      <c r="E16" s="35" t="n"/>
    </row>
    <row r="17">
      <c r="A17" s="29">
        <f>'Emp13&amp;Emp14'!B19</f>
        <v/>
      </c>
      <c r="B17" s="33">
        <f>SUM(C17:E17)</f>
        <v/>
      </c>
      <c r="C17" s="34">
        <f>SUM('Emp13&amp;Emp14'!A33:J33,'Emp13&amp;Emp14'!L33)</f>
        <v/>
      </c>
      <c r="D17" s="37">
        <f>'Emp13&amp;Emp14'!K22</f>
        <v/>
      </c>
      <c r="E17" s="35" t="n"/>
    </row>
    <row r="18">
      <c r="A18" s="29">
        <f>'Emp15&amp;Open'!B1</f>
        <v/>
      </c>
      <c r="B18" s="33">
        <f>SUM(C18:E18)</f>
        <v/>
      </c>
      <c r="C18" s="34">
        <f>SUM('Emp15&amp;Open'!A15:J15,'Emp15&amp;Open'!L15)</f>
        <v/>
      </c>
      <c r="D18" s="37">
        <f>'Emp15&amp;Open'!K4</f>
        <v/>
      </c>
      <c r="E18" s="35" t="n"/>
    </row>
    <row r="21">
      <c r="A21" s="28" t="inlineStr">
        <is>
          <t>Office</t>
        </is>
      </c>
      <c r="B21" s="28" t="inlineStr">
        <is>
          <t>Salary</t>
        </is>
      </c>
      <c r="C21" s="28" t="inlineStr">
        <is>
          <t>Commission</t>
        </is>
      </c>
      <c r="D21" s="28" t="inlineStr">
        <is>
          <t>Vacation</t>
        </is>
      </c>
      <c r="E21" s="28" t="inlineStr">
        <is>
          <t>Holiday</t>
        </is>
      </c>
    </row>
    <row r="22">
      <c r="A22" s="12" t="inlineStr">
        <is>
          <t>Mike Frank</t>
        </is>
      </c>
      <c r="B22" s="31" t="n">
        <v>1155</v>
      </c>
      <c r="C22" s="31" t="n"/>
      <c r="D22" s="31" t="n"/>
      <c r="E22" s="31" t="n"/>
    </row>
    <row r="23">
      <c r="A23" s="12" t="inlineStr">
        <is>
          <t xml:space="preserve">Don Wood </t>
        </is>
      </c>
      <c r="B23" s="31" t="n">
        <v>923.08</v>
      </c>
      <c r="C23" s="31" t="n"/>
      <c r="D23" s="31" t="n"/>
      <c r="E23" s="31" t="n"/>
    </row>
    <row r="24">
      <c r="A24" s="12" t="n"/>
      <c r="B24" s="31" t="n"/>
      <c r="C24" s="31" t="n"/>
      <c r="D24" s="31" t="n"/>
      <c r="E24" s="31" t="n"/>
    </row>
    <row r="25">
      <c r="A25" s="12" t="n"/>
      <c r="B25" s="31" t="n"/>
      <c r="C25" s="31" t="n"/>
      <c r="D25" s="31" t="n"/>
      <c r="E25" s="31" t="n"/>
    </row>
    <row r="27">
      <c r="A27" s="16" t="inlineStr">
        <is>
          <t>Total Payroll Summary</t>
        </is>
      </c>
    </row>
    <row r="28">
      <c r="A28" s="12" t="inlineStr">
        <is>
          <t>Office Payroll</t>
        </is>
      </c>
      <c r="B28" s="32">
        <f>SUM(B22:E25)</f>
        <v/>
      </c>
    </row>
    <row r="29">
      <c r="A29" s="12" t="inlineStr">
        <is>
          <t>Employee Payroll</t>
        </is>
      </c>
      <c r="B29" s="32">
        <f>SUM(B4:B18)</f>
        <v/>
      </c>
    </row>
    <row r="30">
      <c r="A30" s="12" t="inlineStr">
        <is>
          <t>Total Payroll</t>
        </is>
      </c>
      <c r="B30" s="32">
        <f>SUM(B28:B29)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workbookViewId="0">
      <selection activeCell="B20" sqref="B20"/>
    </sheetView>
  </sheetViews>
  <sheetFormatPr baseColWidth="8" defaultColWidth="8.81640625" defaultRowHeight="16.5"/>
  <cols>
    <col width="9.7265625" customWidth="1" style="11" min="1" max="1"/>
    <col width="12.26953125" customWidth="1" style="11" min="2" max="2"/>
    <col width="8.81640625" customWidth="1" style="11" min="3" max="3"/>
    <col width="12.1796875" customWidth="1" style="11" min="4" max="4"/>
    <col width="9.1796875" customWidth="1" style="11" min="5" max="5"/>
    <col width="8.81640625" customWidth="1" style="11" min="6" max="6"/>
    <col width="10.54296875" customWidth="1" style="11" min="7" max="7"/>
    <col width="8.81640625" customWidth="1" style="11" min="8" max="8"/>
    <col width="8.81640625" customWidth="1" style="11" min="9" max="9"/>
    <col width="11.7265625" customWidth="1" style="11" min="10" max="10"/>
    <col width="10.1796875" customWidth="1" style="11" min="11" max="12"/>
    <col width="10.453125" customWidth="1" style="11" min="13" max="13"/>
    <col width="8.81640625" customWidth="1" style="11" min="14" max="16384"/>
  </cols>
  <sheetData>
    <row r="1">
      <c r="A1" s="11" t="inlineStr">
        <is>
          <t>Name:</t>
        </is>
      </c>
      <c r="B1" t="inlineStr">
        <is>
          <t>Justin Bausinger</t>
        </is>
      </c>
    </row>
    <row r="3" ht="17.5" customHeight="1">
      <c r="A3" s="5" t="inlineStr">
        <is>
          <t>Batt&gt;10ft</t>
        </is>
      </c>
      <c r="B3" s="5" t="inlineStr">
        <is>
          <t>Batt&lt;10ft</t>
        </is>
      </c>
      <c r="C3" s="5" t="inlineStr">
        <is>
          <t>Soffit</t>
        </is>
      </c>
      <c r="D3" s="5" t="inlineStr">
        <is>
          <t>Caulk&amp;Foam</t>
        </is>
      </c>
      <c r="E3" s="5" t="inlineStr">
        <is>
          <t>Bonus</t>
        </is>
      </c>
      <c r="F3" s="5" t="inlineStr">
        <is>
          <t>Cellulose</t>
        </is>
      </c>
      <c r="G3" s="5" t="inlineStr">
        <is>
          <t xml:space="preserve">Other Pay </t>
        </is>
      </c>
      <c r="H3" s="5" t="inlineStr">
        <is>
          <t>BIBS</t>
        </is>
      </c>
      <c r="I3" s="5" t="inlineStr">
        <is>
          <t>Attic</t>
        </is>
      </c>
      <c r="J3" s="5" t="inlineStr">
        <is>
          <t>Spray Foam</t>
        </is>
      </c>
      <c r="K3" s="5" t="inlineStr">
        <is>
          <t>Vacation</t>
        </is>
      </c>
      <c r="L3" s="5" t="inlineStr">
        <is>
          <t>Shop Pay</t>
        </is>
      </c>
      <c r="M3" s="5" t="inlineStr">
        <is>
          <t>Holiday</t>
        </is>
      </c>
    </row>
    <row r="4">
      <c r="A4" s="12">
        <f>Emp1Record!B3</f>
        <v/>
      </c>
      <c r="B4" s="13">
        <f>Emp1Record!C3</f>
        <v/>
      </c>
      <c r="C4" s="12">
        <f>Emp1Record!D3</f>
        <v/>
      </c>
      <c r="D4" s="13">
        <f>Emp1Record!E3</f>
        <v/>
      </c>
      <c r="E4" s="12">
        <f>Emp1Record!F3</f>
        <v/>
      </c>
      <c r="F4" s="13">
        <f>Emp1Record!G3</f>
        <v/>
      </c>
      <c r="G4" s="12">
        <f>Emp1Record!H3</f>
        <v/>
      </c>
      <c r="H4" s="12">
        <f>Emp1Record!I3</f>
        <v/>
      </c>
      <c r="I4" s="12">
        <f>Emp1Record!J3</f>
        <v/>
      </c>
      <c r="J4" s="12">
        <f>Emp1Record!S3</f>
        <v/>
      </c>
      <c r="K4" s="13">
        <f>Emp1Record!AB3</f>
        <v/>
      </c>
      <c r="L4" s="39">
        <f>Emp1Record!AC3</f>
        <v/>
      </c>
      <c r="M4" s="38">
        <f>'Payroll Summary'!E4</f>
        <v/>
      </c>
    </row>
    <row r="5">
      <c r="A5" s="14" t="n"/>
      <c r="B5" s="14" t="n"/>
      <c r="C5" s="12">
        <f>Emp1Record!O3</f>
        <v/>
      </c>
      <c r="D5" s="13">
        <f>Emp1Record!R3</f>
        <v/>
      </c>
      <c r="E5" s="13">
        <f>Emp1Record!P3</f>
        <v/>
      </c>
      <c r="F5" s="14" t="n"/>
      <c r="G5" s="12">
        <f>Emp1Record!Q3</f>
        <v/>
      </c>
      <c r="H5" s="14" t="n"/>
      <c r="I5" s="12">
        <f>Emp1Record!K3</f>
        <v/>
      </c>
      <c r="J5" s="13">
        <f>Emp1Record!T3</f>
        <v/>
      </c>
      <c r="K5" s="14" t="n"/>
      <c r="L5" s="30" t="n"/>
      <c r="M5" s="14" t="n"/>
    </row>
    <row r="6">
      <c r="A6" s="15" t="n"/>
      <c r="B6" s="15" t="n"/>
      <c r="C6" s="14" t="n"/>
      <c r="D6" s="14" t="n"/>
      <c r="E6" s="12">
        <f>Emp1Record!Z3</f>
        <v/>
      </c>
      <c r="F6" s="15" t="n"/>
      <c r="G6" s="12">
        <f>Emp1Record!AA3</f>
        <v/>
      </c>
      <c r="H6" s="15" t="n"/>
      <c r="I6" s="12">
        <f>Emp1Record!L3</f>
        <v/>
      </c>
      <c r="J6" s="13">
        <f>Emp1Record!U3</f>
        <v/>
      </c>
      <c r="K6" s="15" t="n"/>
      <c r="L6" s="30" t="n"/>
      <c r="M6" s="15" t="n"/>
    </row>
    <row r="7">
      <c r="A7" s="15" t="n"/>
      <c r="B7" s="15" t="n"/>
      <c r="C7" s="15" t="n"/>
      <c r="D7" s="15" t="n"/>
      <c r="E7" s="14" t="n"/>
      <c r="F7" s="15" t="n"/>
      <c r="G7" s="14" t="n"/>
      <c r="H7" s="15" t="n"/>
      <c r="I7" s="12">
        <f>Emp1Record!M3</f>
        <v/>
      </c>
      <c r="J7" s="13">
        <f>Emp1Record!V3</f>
        <v/>
      </c>
      <c r="K7" s="15" t="n"/>
      <c r="L7" s="30" t="n"/>
      <c r="M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2">
        <f>Emp1Record!N3</f>
        <v/>
      </c>
      <c r="J8" s="13">
        <f>Emp1Record!W3</f>
        <v/>
      </c>
      <c r="K8" s="15" t="n"/>
      <c r="L8" s="30" t="n"/>
      <c r="M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6" t="n"/>
      <c r="J9" s="39">
        <f>Emp1Record!X3</f>
        <v/>
      </c>
      <c r="K9" s="15" t="n"/>
      <c r="L9" s="30" t="n"/>
      <c r="M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3">
        <f>I4*'Pay Rates'!B10</f>
        <v/>
      </c>
      <c r="J10" s="39">
        <f>Emp1Record!Y3</f>
        <v/>
      </c>
      <c r="K10" s="15" t="n"/>
      <c r="L10" s="30" t="n"/>
      <c r="M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3">
        <f>I5*'Pay Rates'!B11</f>
        <v/>
      </c>
      <c r="J11" s="15" t="n"/>
      <c r="K11" s="15" t="n"/>
      <c r="L11" s="30" t="n"/>
      <c r="M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3">
        <f>I6*'Pay Rates'!B12</f>
        <v/>
      </c>
      <c r="J12" s="15" t="n"/>
      <c r="K12" s="15" t="n"/>
      <c r="L12" s="30" t="n"/>
      <c r="M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3">
        <f>I7*'Pay Rates'!B13</f>
        <v/>
      </c>
      <c r="J13" s="15" t="n"/>
      <c r="K13" s="15" t="n"/>
      <c r="L13" s="30" t="n"/>
      <c r="M13" s="15" t="n"/>
    </row>
    <row r="14">
      <c r="A14" s="15" t="n"/>
      <c r="B14" s="17" t="n"/>
      <c r="C14" s="17" t="n"/>
      <c r="D14" s="17" t="n"/>
      <c r="E14" s="17" t="n"/>
      <c r="F14" s="17" t="n"/>
      <c r="G14" s="17" t="n"/>
      <c r="H14" s="17" t="n"/>
      <c r="I14" s="18">
        <f>I8*'Pay Rates'!B14</f>
        <v/>
      </c>
      <c r="J14" s="17" t="n"/>
      <c r="K14" s="17" t="n"/>
      <c r="L14" s="30" t="n"/>
      <c r="M14" s="17" t="n"/>
    </row>
    <row r="15">
      <c r="A15" s="44">
        <f>A4*'Pay Rates'!B3</f>
        <v/>
      </c>
      <c r="B15" s="44">
        <f>B4*'Pay Rates'!B4</f>
        <v/>
      </c>
      <c r="C15" s="44">
        <f>SUM(C4:C5)</f>
        <v/>
      </c>
      <c r="D15" s="44">
        <f>SUM(D4:D5)</f>
        <v/>
      </c>
      <c r="E15" s="44">
        <f>SUM(E4:E6)</f>
        <v/>
      </c>
      <c r="F15" s="44">
        <f>SUM(F4)</f>
        <v/>
      </c>
      <c r="G15" s="44">
        <f>SUM(G4:G6)</f>
        <v/>
      </c>
      <c r="H15" s="44">
        <f>SUM(H4)</f>
        <v/>
      </c>
      <c r="I15" s="44">
        <f>SUM(I10:I14)</f>
        <v/>
      </c>
      <c r="J15" s="44">
        <f>SUM(J4:J10)</f>
        <v/>
      </c>
      <c r="K15" s="44">
        <f>SUM(K4)</f>
        <v/>
      </c>
      <c r="L15" s="44">
        <f>SUM(L4:L14)</f>
        <v/>
      </c>
      <c r="M15" s="44">
        <f>SUM(M4)</f>
        <v/>
      </c>
    </row>
    <row r="16">
      <c r="A16" s="19" t="inlineStr">
        <is>
          <t>Total Pay</t>
        </is>
      </c>
      <c r="B16" s="45">
        <f>SUM(A15:M15)</f>
        <v/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1" t="n"/>
    </row>
    <row r="19">
      <c r="A19" s="11" t="inlineStr">
        <is>
          <t>Name:</t>
        </is>
      </c>
      <c r="B19" t="inlineStr">
        <is>
          <t>Davion Burris</t>
        </is>
      </c>
    </row>
    <row r="21">
      <c r="A21" s="5" t="inlineStr">
        <is>
          <t>Batt&gt;10ft</t>
        </is>
      </c>
      <c r="B21" s="5" t="inlineStr">
        <is>
          <t>Batt&lt;10ft</t>
        </is>
      </c>
      <c r="C21" s="5" t="inlineStr">
        <is>
          <t>Soffit</t>
        </is>
      </c>
      <c r="D21" s="5" t="inlineStr">
        <is>
          <t>Caulk&amp;Foam</t>
        </is>
      </c>
      <c r="E21" s="5" t="inlineStr">
        <is>
          <t>Bonus</t>
        </is>
      </c>
      <c r="F21" s="5" t="inlineStr">
        <is>
          <t>Cellulose</t>
        </is>
      </c>
      <c r="G21" s="5" t="inlineStr">
        <is>
          <t xml:space="preserve">Other Pay </t>
        </is>
      </c>
      <c r="H21" s="5" t="inlineStr">
        <is>
          <t>BIBS</t>
        </is>
      </c>
      <c r="I21" s="5" t="inlineStr">
        <is>
          <t>Attic</t>
        </is>
      </c>
      <c r="J21" s="5" t="inlineStr">
        <is>
          <t>Spray Foam</t>
        </is>
      </c>
      <c r="K21" s="5" t="inlineStr">
        <is>
          <t>Vacation</t>
        </is>
      </c>
      <c r="L21" s="5" t="inlineStr">
        <is>
          <t>Shop Pay</t>
        </is>
      </c>
      <c r="M21" s="5" t="inlineStr">
        <is>
          <t>Holiday</t>
        </is>
      </c>
    </row>
    <row r="22">
      <c r="A22" s="12">
        <f>Emp2Record!B3</f>
        <v/>
      </c>
      <c r="B22" s="13">
        <f>Emp2Record!C3</f>
        <v/>
      </c>
      <c r="C22" s="12">
        <f>Emp2Record!D3</f>
        <v/>
      </c>
      <c r="D22" s="13">
        <f>Emp2Record!E3</f>
        <v/>
      </c>
      <c r="E22" s="12">
        <f>Emp2Record!F3</f>
        <v/>
      </c>
      <c r="F22" s="13">
        <f>Emp2Record!G3</f>
        <v/>
      </c>
      <c r="G22" s="12">
        <f>Emp2Record!H3</f>
        <v/>
      </c>
      <c r="H22" s="12">
        <f>Emp2Record!I3</f>
        <v/>
      </c>
      <c r="I22" s="12">
        <f>Emp2Record!J3</f>
        <v/>
      </c>
      <c r="J22" s="12">
        <f>Emp2Record!S3</f>
        <v/>
      </c>
      <c r="K22" s="13">
        <f>Emp2Record!AB3</f>
        <v/>
      </c>
      <c r="L22" s="39">
        <f>Emp2Record!AC3</f>
        <v/>
      </c>
      <c r="M22" s="38">
        <f>'Payroll Summary'!E5</f>
        <v/>
      </c>
    </row>
    <row r="23">
      <c r="A23" s="14" t="n"/>
      <c r="B23" s="14" t="n"/>
      <c r="C23" s="12">
        <f>Emp2Record!O3</f>
        <v/>
      </c>
      <c r="D23" s="13">
        <f>Emp2Record!R3</f>
        <v/>
      </c>
      <c r="E23" s="13">
        <f>Emp2Record!P3</f>
        <v/>
      </c>
      <c r="F23" s="14" t="n"/>
      <c r="G23" s="12">
        <f>Emp2Record!Q3</f>
        <v/>
      </c>
      <c r="H23" s="14" t="n"/>
      <c r="I23" s="12">
        <f>Emp2Record!K3</f>
        <v/>
      </c>
      <c r="J23" s="13">
        <f>Emp2Record!T3</f>
        <v/>
      </c>
      <c r="K23" s="14" t="n"/>
      <c r="L23" s="30" t="n"/>
      <c r="M23" s="14" t="n"/>
    </row>
    <row r="24">
      <c r="A24" s="15" t="n"/>
      <c r="B24" s="15" t="n"/>
      <c r="C24" s="14" t="n"/>
      <c r="D24" s="14" t="n"/>
      <c r="E24" s="12">
        <f>Emp2Record!Z3</f>
        <v/>
      </c>
      <c r="F24" s="15" t="n"/>
      <c r="G24" s="12">
        <f>Emp2Record!AA3</f>
        <v/>
      </c>
      <c r="H24" s="15" t="n"/>
      <c r="I24" s="12">
        <f>Emp2Record!L3</f>
        <v/>
      </c>
      <c r="J24" s="13">
        <f>Emp2Record!U3</f>
        <v/>
      </c>
      <c r="K24" s="15" t="n"/>
      <c r="L24" s="30" t="n"/>
      <c r="M24" s="15" t="n"/>
    </row>
    <row r="25">
      <c r="A25" s="15" t="n"/>
      <c r="B25" s="15" t="n"/>
      <c r="C25" s="15" t="n"/>
      <c r="D25" s="15" t="n"/>
      <c r="E25" s="14" t="n"/>
      <c r="F25" s="15" t="n"/>
      <c r="G25" s="14" t="n"/>
      <c r="H25" s="15" t="n"/>
      <c r="I25" s="12">
        <f>Emp2Record!M3</f>
        <v/>
      </c>
      <c r="J25" s="13">
        <f>Emp2Record!V3</f>
        <v/>
      </c>
      <c r="K25" s="15" t="n"/>
      <c r="L25" s="30" t="n"/>
      <c r="M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2">
        <f>Emp2Record!N3</f>
        <v/>
      </c>
      <c r="J26" s="13">
        <f>Emp2Record!W3</f>
        <v/>
      </c>
      <c r="K26" s="15" t="n"/>
      <c r="L26" s="30" t="n"/>
      <c r="M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6" t="n"/>
      <c r="J27" s="39">
        <f>Emp2Record!X3</f>
        <v/>
      </c>
      <c r="K27" s="15" t="n"/>
      <c r="L27" s="30" t="n"/>
      <c r="M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3">
        <f>I22*'Pay Rates'!B10</f>
        <v/>
      </c>
      <c r="J28" s="39">
        <f>Emp2Record!Y3</f>
        <v/>
      </c>
      <c r="K28" s="15" t="n"/>
      <c r="L28" s="30" t="n"/>
      <c r="M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3">
        <f>I23*'Pay Rates'!B11</f>
        <v/>
      </c>
      <c r="J29" s="15" t="n"/>
      <c r="K29" s="15" t="n"/>
      <c r="L29" s="30" t="n"/>
      <c r="M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3">
        <f>I24*'Pay Rates'!B12</f>
        <v/>
      </c>
      <c r="J30" s="15" t="n"/>
      <c r="K30" s="15" t="n"/>
      <c r="L30" s="30" t="n"/>
      <c r="M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3">
        <f>I25*'Pay Rates'!B13</f>
        <v/>
      </c>
      <c r="J31" s="15" t="n"/>
      <c r="K31" s="15" t="n"/>
      <c r="L31" s="30" t="n"/>
      <c r="M31" s="15" t="n"/>
    </row>
    <row r="32">
      <c r="A32" s="15" t="n"/>
      <c r="B32" s="17" t="n"/>
      <c r="C32" s="17" t="n"/>
      <c r="D32" s="17" t="n"/>
      <c r="E32" s="17" t="n"/>
      <c r="F32" s="17" t="n"/>
      <c r="G32" s="17" t="n"/>
      <c r="H32" s="17" t="n"/>
      <c r="I32" s="18">
        <f>I26*'Pay Rates'!B14</f>
        <v/>
      </c>
      <c r="J32" s="17" t="n"/>
      <c r="K32" s="17" t="n"/>
      <c r="L32" s="30" t="n"/>
      <c r="M32" s="17" t="n"/>
    </row>
    <row r="33">
      <c r="A33" s="44">
        <f>A22*'Pay Rates'!B3</f>
        <v/>
      </c>
      <c r="B33" s="44">
        <f>B22*'Pay Rates'!B4</f>
        <v/>
      </c>
      <c r="C33" s="44">
        <f>SUM(C22:C23)</f>
        <v/>
      </c>
      <c r="D33" s="44">
        <f>SUM(D22:D23)</f>
        <v/>
      </c>
      <c r="E33" s="44">
        <f>SUM(E22:E24)</f>
        <v/>
      </c>
      <c r="F33" s="44">
        <f>SUM(F22)</f>
        <v/>
      </c>
      <c r="G33" s="44">
        <f>SUM(G22:G24)</f>
        <v/>
      </c>
      <c r="H33" s="44">
        <f>SUM(H22)</f>
        <v/>
      </c>
      <c r="I33" s="44">
        <f>SUM(I28:I32)</f>
        <v/>
      </c>
      <c r="J33" s="44">
        <f>SUM(J22:J28)</f>
        <v/>
      </c>
      <c r="K33" s="44">
        <f>SUM(K22)</f>
        <v/>
      </c>
      <c r="L33" s="44">
        <f>SUM(L22:L32)</f>
        <v/>
      </c>
      <c r="M33" s="44">
        <f>SUM(M22)</f>
        <v/>
      </c>
    </row>
    <row r="34">
      <c r="A34" s="19" t="inlineStr">
        <is>
          <t>Total Pay</t>
        </is>
      </c>
      <c r="B34" s="45">
        <f>SUM(A33:M33)</f>
        <v/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1" t="n"/>
    </row>
  </sheetData>
  <pageMargins left="0.7" right="0.7" top="0.75" bottom="0.75" header="0.3" footer="0.3"/>
  <pageSetup orientation="landscape" scale="87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zoomScale="99" workbookViewId="0">
      <selection activeCell="M22" sqref="M22"/>
    </sheetView>
  </sheetViews>
  <sheetFormatPr baseColWidth="8" defaultRowHeight="14.5"/>
  <cols>
    <col width="10.54296875" customWidth="1" min="2" max="2"/>
    <col width="12.1796875" customWidth="1" min="4" max="4"/>
    <col width="9.7265625" customWidth="1" min="7" max="7"/>
    <col width="10.26953125" customWidth="1" min="9" max="9"/>
    <col width="11.81640625" customWidth="1" min="10" max="10"/>
    <col width="10" customWidth="1" min="12" max="12"/>
  </cols>
  <sheetData>
    <row r="1" ht="16.5" customHeight="1">
      <c r="A1" s="11" t="inlineStr">
        <is>
          <t>Name:</t>
        </is>
      </c>
      <c r="B1" s="11" t="inlineStr">
        <is>
          <t>Chris Classen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</row>
    <row r="2" ht="16.5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 ht="16" customHeight="1">
      <c r="A3" s="5" t="inlineStr">
        <is>
          <t>Batt&gt;10ft</t>
        </is>
      </c>
      <c r="B3" s="5" t="inlineStr">
        <is>
          <t>Batt&lt;10ft</t>
        </is>
      </c>
      <c r="C3" s="5" t="inlineStr">
        <is>
          <t>Soffit</t>
        </is>
      </c>
      <c r="D3" s="5" t="inlineStr">
        <is>
          <t>Caulk&amp;Foam</t>
        </is>
      </c>
      <c r="E3" s="5" t="inlineStr">
        <is>
          <t>Bonus</t>
        </is>
      </c>
      <c r="F3" s="5" t="inlineStr">
        <is>
          <t>Cellulose</t>
        </is>
      </c>
      <c r="G3" s="5" t="inlineStr">
        <is>
          <t xml:space="preserve">Other Pay </t>
        </is>
      </c>
      <c r="H3" s="5" t="inlineStr">
        <is>
          <t>BIBS</t>
        </is>
      </c>
      <c r="I3" s="5" t="inlineStr">
        <is>
          <t>Attic</t>
        </is>
      </c>
      <c r="J3" s="5" t="inlineStr">
        <is>
          <t>Spray Foam</t>
        </is>
      </c>
      <c r="K3" s="5" t="inlineStr">
        <is>
          <t>Vacation</t>
        </is>
      </c>
      <c r="L3" s="5" t="inlineStr">
        <is>
          <t>Shop Pay</t>
        </is>
      </c>
      <c r="M3" s="5" t="inlineStr">
        <is>
          <t>Holiday</t>
        </is>
      </c>
    </row>
    <row r="4" ht="16.5" customHeight="1">
      <c r="A4" s="12">
        <f>Emp3Record!B3</f>
        <v/>
      </c>
      <c r="B4" s="13">
        <f>Emp3Record!C3</f>
        <v/>
      </c>
      <c r="C4" s="12">
        <f>Emp3Record!D3</f>
        <v/>
      </c>
      <c r="D4" s="13">
        <f>Emp3Record!E3</f>
        <v/>
      </c>
      <c r="E4" s="12">
        <f>Emp3Record!F3</f>
        <v/>
      </c>
      <c r="F4" s="13">
        <f>Emp3Record!G3</f>
        <v/>
      </c>
      <c r="G4" s="12">
        <f>Emp3Record!H3</f>
        <v/>
      </c>
      <c r="H4" s="12">
        <f>Emp3Record!I3</f>
        <v/>
      </c>
      <c r="I4" s="12">
        <f>Emp3Record!J3</f>
        <v/>
      </c>
      <c r="J4" s="12">
        <f>Emp3Record!S3</f>
        <v/>
      </c>
      <c r="K4" s="13">
        <f>Emp3Record!AB3</f>
        <v/>
      </c>
      <c r="L4" s="39">
        <f>Emp3Record!AC3</f>
        <v/>
      </c>
      <c r="M4" s="38">
        <f>'Payroll Summary'!E6</f>
        <v/>
      </c>
    </row>
    <row r="5" ht="16.5" customHeight="1">
      <c r="A5" s="14" t="n"/>
      <c r="B5" s="14" t="n"/>
      <c r="C5" s="12">
        <f>Emp3Record!O3</f>
        <v/>
      </c>
      <c r="D5" s="13">
        <f>Emp3Record!R3</f>
        <v/>
      </c>
      <c r="E5" s="13">
        <f>Emp3Record!P3</f>
        <v/>
      </c>
      <c r="F5" s="14" t="n"/>
      <c r="G5" s="12">
        <f>Emp3Record!Q3</f>
        <v/>
      </c>
      <c r="H5" s="14" t="n"/>
      <c r="I5" s="12">
        <f>Emp3Record!K3</f>
        <v/>
      </c>
      <c r="J5" s="13">
        <f>Emp3Record!T3</f>
        <v/>
      </c>
      <c r="K5" s="14" t="n"/>
      <c r="L5" s="30" t="n"/>
      <c r="M5" s="14" t="n"/>
    </row>
    <row r="6" ht="16.5" customHeight="1">
      <c r="A6" s="15" t="n"/>
      <c r="B6" s="15" t="n"/>
      <c r="C6" s="14" t="n"/>
      <c r="D6" s="14" t="n"/>
      <c r="E6" s="12">
        <f>Emp3Record!Z3</f>
        <v/>
      </c>
      <c r="F6" s="15" t="n"/>
      <c r="G6" s="12">
        <f>Emp3Record!AA3</f>
        <v/>
      </c>
      <c r="H6" s="15" t="n"/>
      <c r="I6" s="12">
        <f>Emp3Record!L3</f>
        <v/>
      </c>
      <c r="J6" s="13">
        <f>Emp3Record!U3</f>
        <v/>
      </c>
      <c r="K6" s="15" t="n"/>
      <c r="L6" s="30" t="n"/>
      <c r="M6" s="15" t="n"/>
    </row>
    <row r="7" ht="16.5" customHeight="1">
      <c r="A7" s="15" t="n"/>
      <c r="B7" s="15" t="n"/>
      <c r="C7" s="15" t="n"/>
      <c r="D7" s="15" t="n"/>
      <c r="E7" s="14" t="n"/>
      <c r="F7" s="15" t="n"/>
      <c r="G7" s="14" t="n"/>
      <c r="H7" s="15" t="n"/>
      <c r="I7" s="12">
        <f>Emp3Record!M3</f>
        <v/>
      </c>
      <c r="J7" s="13">
        <f>Emp3Record!V3</f>
        <v/>
      </c>
      <c r="K7" s="15" t="n"/>
      <c r="L7" s="30" t="n"/>
      <c r="M7" s="15" t="n"/>
    </row>
    <row r="8" ht="16.5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2">
        <f>Emp3Record!N3</f>
        <v/>
      </c>
      <c r="J8" s="13">
        <f>Emp3Record!W3</f>
        <v/>
      </c>
      <c r="K8" s="15" t="n"/>
      <c r="L8" s="30" t="n"/>
      <c r="M8" s="15" t="n"/>
    </row>
    <row r="9" ht="16.5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6" t="n"/>
      <c r="J9" s="39">
        <f>Emp3Record!X3</f>
        <v/>
      </c>
      <c r="K9" s="15" t="n"/>
      <c r="L9" s="30" t="n"/>
      <c r="M9" s="15" t="n"/>
    </row>
    <row r="10" ht="16.5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3">
        <f>I4*'Pay Rates'!B10</f>
        <v/>
      </c>
      <c r="J10" s="39">
        <f>Emp3Record!Y3</f>
        <v/>
      </c>
      <c r="K10" s="15" t="n"/>
      <c r="L10" s="30" t="n"/>
      <c r="M10" s="15" t="n"/>
    </row>
    <row r="11" ht="16.5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3">
        <f>I5*'Pay Rates'!B11</f>
        <v/>
      </c>
      <c r="J11" s="15" t="n"/>
      <c r="K11" s="15" t="n"/>
      <c r="L11" s="30" t="n"/>
      <c r="M11" s="15" t="n"/>
    </row>
    <row r="12" ht="16.5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3">
        <f>I6*'Pay Rates'!B12</f>
        <v/>
      </c>
      <c r="J12" s="15" t="n"/>
      <c r="K12" s="15" t="n"/>
      <c r="L12" s="30" t="n"/>
      <c r="M12" s="15" t="n"/>
    </row>
    <row r="13" ht="16.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3">
        <f>I7*'Pay Rates'!B13</f>
        <v/>
      </c>
      <c r="J13" s="15" t="n"/>
      <c r="K13" s="15" t="n"/>
      <c r="L13" s="30" t="n"/>
      <c r="M13" s="15" t="n"/>
    </row>
    <row r="14" ht="16.5" customHeight="1">
      <c r="A14" s="15" t="n"/>
      <c r="B14" s="17" t="n"/>
      <c r="C14" s="17" t="n"/>
      <c r="D14" s="17" t="n"/>
      <c r="E14" s="17" t="n"/>
      <c r="F14" s="17" t="n"/>
      <c r="G14" s="17" t="n"/>
      <c r="H14" s="17" t="n"/>
      <c r="I14" s="18">
        <f>I8*'Pay Rates'!B14</f>
        <v/>
      </c>
      <c r="J14" s="17" t="n"/>
      <c r="K14" s="17" t="n"/>
      <c r="L14" s="30" t="n"/>
      <c r="M14" s="17" t="n"/>
    </row>
    <row r="15" ht="16.5" customHeight="1">
      <c r="A15" s="44">
        <f>A4*'Pay Rates'!B3</f>
        <v/>
      </c>
      <c r="B15" s="44">
        <f>B4*'Pay Rates'!B4</f>
        <v/>
      </c>
      <c r="C15" s="44">
        <f>SUM(C4:C5)</f>
        <v/>
      </c>
      <c r="D15" s="44">
        <f>SUM(D4:D5)</f>
        <v/>
      </c>
      <c r="E15" s="44">
        <f>SUM(E4:E6)</f>
        <v/>
      </c>
      <c r="F15" s="44">
        <f>SUM(F4)</f>
        <v/>
      </c>
      <c r="G15" s="44">
        <f>SUM(G4:G6)</f>
        <v/>
      </c>
      <c r="H15" s="44">
        <f>SUM(H4)</f>
        <v/>
      </c>
      <c r="I15" s="44">
        <f>SUM(I10:I14)</f>
        <v/>
      </c>
      <c r="J15" s="44">
        <f>SUM(J4:J10)</f>
        <v/>
      </c>
      <c r="K15" s="44">
        <f>SUM(K4)</f>
        <v/>
      </c>
      <c r="L15" s="44">
        <f>SUM(L4:L14)</f>
        <v/>
      </c>
      <c r="M15" s="44">
        <f>SUM(M4)</f>
        <v/>
      </c>
    </row>
    <row r="16" ht="16.5" customHeight="1">
      <c r="A16" s="19" t="inlineStr">
        <is>
          <t>Total Pay</t>
        </is>
      </c>
      <c r="B16" s="45">
        <f>SUM(A15:M15)</f>
        <v/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1" t="n"/>
    </row>
    <row r="17" ht="16.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 ht="16.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 ht="16.5" customHeight="1">
      <c r="A19" s="11" t="inlineStr">
        <is>
          <t>Name:</t>
        </is>
      </c>
      <c r="B19" s="11" t="inlineStr">
        <is>
          <t>Jeremy Denton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 ht="16.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 ht="16" customHeight="1">
      <c r="A21" s="5" t="inlineStr">
        <is>
          <t>Batt&gt;10ft</t>
        </is>
      </c>
      <c r="B21" s="5" t="inlineStr">
        <is>
          <t>Batt&lt;10ft</t>
        </is>
      </c>
      <c r="C21" s="5" t="inlineStr">
        <is>
          <t>Soffit</t>
        </is>
      </c>
      <c r="D21" s="5" t="inlineStr">
        <is>
          <t>Caulk&amp;Foam</t>
        </is>
      </c>
      <c r="E21" s="5" t="inlineStr">
        <is>
          <t>Bonus</t>
        </is>
      </c>
      <c r="F21" s="5" t="inlineStr">
        <is>
          <t>Cellulose</t>
        </is>
      </c>
      <c r="G21" s="5" t="inlineStr">
        <is>
          <t xml:space="preserve">Other Pay </t>
        </is>
      </c>
      <c r="H21" s="5" t="inlineStr">
        <is>
          <t>BIBS</t>
        </is>
      </c>
      <c r="I21" s="5" t="inlineStr">
        <is>
          <t>Attic</t>
        </is>
      </c>
      <c r="J21" s="5" t="inlineStr">
        <is>
          <t>Spray Foam</t>
        </is>
      </c>
      <c r="K21" s="5" t="inlineStr">
        <is>
          <t>Vacation</t>
        </is>
      </c>
      <c r="L21" s="5" t="inlineStr">
        <is>
          <t>Shop Pay</t>
        </is>
      </c>
      <c r="M21" s="5" t="inlineStr">
        <is>
          <t>Holiday</t>
        </is>
      </c>
    </row>
    <row r="22" ht="16.5" customHeight="1">
      <c r="A22" s="12">
        <f>Emp4Record!B3</f>
        <v/>
      </c>
      <c r="B22" s="13">
        <f>Emp4Record!C3</f>
        <v/>
      </c>
      <c r="C22" s="12">
        <f>Emp4Record!D3</f>
        <v/>
      </c>
      <c r="D22" s="13">
        <f>Emp4Record!E3</f>
        <v/>
      </c>
      <c r="E22" s="12">
        <f>Emp4Record!F3</f>
        <v/>
      </c>
      <c r="F22" s="13">
        <f>Emp4Record!G3</f>
        <v/>
      </c>
      <c r="G22" s="12">
        <f>Emp4Record!H3</f>
        <v/>
      </c>
      <c r="H22" s="12">
        <f>Emp4Record!I3</f>
        <v/>
      </c>
      <c r="I22" s="12">
        <f>Emp4Record!J3</f>
        <v/>
      </c>
      <c r="J22" s="12">
        <f>Emp4Record!S3</f>
        <v/>
      </c>
      <c r="K22" s="13">
        <f>Emp4Record!AB3</f>
        <v/>
      </c>
      <c r="L22" s="39">
        <f>Emp4Record!AC3</f>
        <v/>
      </c>
      <c r="M22" s="38">
        <f>'Payroll Summary'!E7</f>
        <v/>
      </c>
    </row>
    <row r="23" ht="16.5" customHeight="1">
      <c r="A23" s="14" t="n"/>
      <c r="B23" s="14" t="n"/>
      <c r="C23" s="12">
        <f>Emp4Record!O3</f>
        <v/>
      </c>
      <c r="D23" s="13">
        <f>Emp4Record!R3</f>
        <v/>
      </c>
      <c r="E23" s="13">
        <f>Emp4Record!P3</f>
        <v/>
      </c>
      <c r="F23" s="14" t="n"/>
      <c r="G23" s="12">
        <f>Emp4Record!Q3</f>
        <v/>
      </c>
      <c r="H23" s="14" t="n"/>
      <c r="I23" s="12">
        <f>Emp4Record!K3</f>
        <v/>
      </c>
      <c r="J23" s="13">
        <f>Emp4Record!T3</f>
        <v/>
      </c>
      <c r="K23" s="14" t="n"/>
      <c r="L23" s="30" t="n"/>
      <c r="M23" s="14" t="n"/>
    </row>
    <row r="24" ht="16.5" customHeight="1">
      <c r="A24" s="15" t="n"/>
      <c r="B24" s="15" t="n"/>
      <c r="C24" s="14" t="n"/>
      <c r="D24" s="14" t="n"/>
      <c r="E24" s="12">
        <f>Emp4Record!Z3</f>
        <v/>
      </c>
      <c r="F24" s="15" t="n"/>
      <c r="G24" s="12">
        <f>Emp4Record!AA3</f>
        <v/>
      </c>
      <c r="H24" s="15" t="n"/>
      <c r="I24" s="12">
        <f>Emp4Record!L3</f>
        <v/>
      </c>
      <c r="J24" s="13">
        <f>Emp4Record!U3</f>
        <v/>
      </c>
      <c r="K24" s="15" t="n"/>
      <c r="L24" s="30" t="n"/>
      <c r="M24" s="15" t="n"/>
    </row>
    <row r="25" ht="16.5" customHeight="1">
      <c r="A25" s="15" t="n"/>
      <c r="B25" s="15" t="n"/>
      <c r="C25" s="15" t="n"/>
      <c r="D25" s="15" t="n"/>
      <c r="E25" s="14" t="n"/>
      <c r="F25" s="15" t="n"/>
      <c r="G25" s="14" t="n"/>
      <c r="H25" s="15" t="n"/>
      <c r="I25" s="12">
        <f>Emp4Record!M3</f>
        <v/>
      </c>
      <c r="J25" s="13">
        <f>Emp4Record!V3</f>
        <v/>
      </c>
      <c r="K25" s="15" t="n"/>
      <c r="L25" s="30" t="n"/>
      <c r="M25" s="15" t="n"/>
    </row>
    <row r="26" ht="16.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2">
        <f>Emp4Record!N3</f>
        <v/>
      </c>
      <c r="J26" s="13">
        <f>Emp4Record!W3</f>
        <v/>
      </c>
      <c r="K26" s="15" t="n"/>
      <c r="L26" s="30" t="n"/>
      <c r="M26" s="15" t="n"/>
    </row>
    <row r="27" ht="16.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6" t="n"/>
      <c r="J27" s="39">
        <f>Emp4Record!X3</f>
        <v/>
      </c>
      <c r="K27" s="15" t="n"/>
      <c r="L27" s="30" t="n"/>
      <c r="M27" s="15" t="n"/>
    </row>
    <row r="28" ht="16.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3">
        <f>I22*'Pay Rates'!B10</f>
        <v/>
      </c>
      <c r="J28" s="39">
        <f>Emp4Record!Y3</f>
        <v/>
      </c>
      <c r="K28" s="15" t="n"/>
      <c r="L28" s="30" t="n"/>
      <c r="M28" s="15" t="n"/>
    </row>
    <row r="29" ht="16.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3">
        <f>I23*'Pay Rates'!B11</f>
        <v/>
      </c>
      <c r="J29" s="15" t="n"/>
      <c r="K29" s="15" t="n"/>
      <c r="L29" s="30" t="n"/>
      <c r="M29" s="15" t="n"/>
    </row>
    <row r="30" ht="16.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3">
        <f>I24*'Pay Rates'!B12</f>
        <v/>
      </c>
      <c r="J30" s="15" t="n"/>
      <c r="K30" s="15" t="n"/>
      <c r="L30" s="30" t="n"/>
      <c r="M30" s="15" t="n"/>
    </row>
    <row r="31" ht="16.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3">
        <f>I25*'Pay Rates'!B13</f>
        <v/>
      </c>
      <c r="J31" s="15" t="n"/>
      <c r="K31" s="15" t="n"/>
      <c r="L31" s="30" t="n"/>
      <c r="M31" s="15" t="n"/>
    </row>
    <row r="32" ht="16.5" customHeight="1">
      <c r="A32" s="15" t="n"/>
      <c r="B32" s="17" t="n"/>
      <c r="C32" s="17" t="n"/>
      <c r="D32" s="17" t="n"/>
      <c r="E32" s="17" t="n"/>
      <c r="F32" s="17" t="n"/>
      <c r="G32" s="17" t="n"/>
      <c r="H32" s="17" t="n"/>
      <c r="I32" s="18">
        <f>I26*'Pay Rates'!B14</f>
        <v/>
      </c>
      <c r="J32" s="17" t="n"/>
      <c r="K32" s="17" t="n"/>
      <c r="L32" s="30" t="n"/>
      <c r="M32" s="17" t="n"/>
    </row>
    <row r="33" ht="16.5" customHeight="1">
      <c r="A33" s="44">
        <f>A22*'Pay Rates'!B3</f>
        <v/>
      </c>
      <c r="B33" s="44">
        <f>B22*'Pay Rates'!B4</f>
        <v/>
      </c>
      <c r="C33" s="44">
        <f>SUM(C22:C23)</f>
        <v/>
      </c>
      <c r="D33" s="44">
        <f>SUM(D22:D23)</f>
        <v/>
      </c>
      <c r="E33" s="44">
        <f>SUM(E22:E24)</f>
        <v/>
      </c>
      <c r="F33" s="44">
        <f>SUM(F22)</f>
        <v/>
      </c>
      <c r="G33" s="44">
        <f>SUM(G22:G24)</f>
        <v/>
      </c>
      <c r="H33" s="44">
        <f>SUM(H22)</f>
        <v/>
      </c>
      <c r="I33" s="44">
        <f>SUM(I28:I32)</f>
        <v/>
      </c>
      <c r="J33" s="44">
        <f>SUM(J22:J28)</f>
        <v/>
      </c>
      <c r="K33" s="44">
        <f>SUM(K22)</f>
        <v/>
      </c>
      <c r="L33" s="44">
        <f>SUM(L22:L32)</f>
        <v/>
      </c>
      <c r="M33" s="44">
        <f>SUM(M22)</f>
        <v/>
      </c>
    </row>
    <row r="34" ht="16.5" customHeight="1">
      <c r="A34" s="19" t="inlineStr">
        <is>
          <t>Total Pay</t>
        </is>
      </c>
      <c r="B34" s="45">
        <f>SUM(A33:M33)</f>
        <v/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1" t="n"/>
    </row>
  </sheetData>
  <pageMargins left="0.7" right="0.7" top="0.75" bottom="0.75" header="0.3" footer="0.3"/>
  <pageSetup orientation="landscape" scale="8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topLeftCell="A14" workbookViewId="0">
      <selection activeCell="L22" sqref="L22"/>
    </sheetView>
  </sheetViews>
  <sheetFormatPr baseColWidth="8" defaultRowHeight="14.5"/>
  <sheetData>
    <row r="1" ht="16.5" customHeight="1">
      <c r="A1" s="11" t="inlineStr">
        <is>
          <t>Name:</t>
        </is>
      </c>
      <c r="B1" s="11" t="inlineStr">
        <is>
          <t>Glen Hayes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</row>
    <row r="2" ht="16.5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 ht="32" customHeight="1">
      <c r="A3" s="5" t="inlineStr">
        <is>
          <t>Batt&gt;10ft</t>
        </is>
      </c>
      <c r="B3" s="5" t="inlineStr">
        <is>
          <t>Batt&lt;10ft</t>
        </is>
      </c>
      <c r="C3" s="5" t="inlineStr">
        <is>
          <t>Soffit</t>
        </is>
      </c>
      <c r="D3" s="5" t="inlineStr">
        <is>
          <t>Caulk&amp;Foam</t>
        </is>
      </c>
      <c r="E3" s="5" t="inlineStr">
        <is>
          <t>Bonus</t>
        </is>
      </c>
      <c r="F3" s="5" t="inlineStr">
        <is>
          <t>Cellulose</t>
        </is>
      </c>
      <c r="G3" s="5" t="inlineStr">
        <is>
          <t xml:space="preserve">Other Pay </t>
        </is>
      </c>
      <c r="H3" s="5" t="inlineStr">
        <is>
          <t>BIBS</t>
        </is>
      </c>
      <c r="I3" s="5" t="inlineStr">
        <is>
          <t>Attic</t>
        </is>
      </c>
      <c r="J3" s="5" t="inlineStr">
        <is>
          <t>Spray Foam</t>
        </is>
      </c>
      <c r="K3" s="5" t="inlineStr">
        <is>
          <t>Vacation</t>
        </is>
      </c>
      <c r="L3" s="5" t="inlineStr">
        <is>
          <t>Shop Pay</t>
        </is>
      </c>
      <c r="M3" s="5" t="inlineStr">
        <is>
          <t>Holiday</t>
        </is>
      </c>
    </row>
    <row r="4" ht="16.5" customHeight="1">
      <c r="A4" s="12">
        <f>Emp5Record!B3</f>
        <v/>
      </c>
      <c r="B4" s="13">
        <f>Emp5Record!C3</f>
        <v/>
      </c>
      <c r="C4" s="12">
        <f>Emp5Record!D3</f>
        <v/>
      </c>
      <c r="D4" s="13">
        <f>Emp5Record!E3</f>
        <v/>
      </c>
      <c r="E4" s="12">
        <f>Emp5Record!F3</f>
        <v/>
      </c>
      <c r="F4" s="13">
        <f>Emp5Record!G3</f>
        <v/>
      </c>
      <c r="G4" s="12">
        <f>Emp5Record!H3</f>
        <v/>
      </c>
      <c r="H4" s="12">
        <f>Emp5Record!I3</f>
        <v/>
      </c>
      <c r="I4" s="12">
        <f>Emp5Record!J3</f>
        <v/>
      </c>
      <c r="J4" s="12">
        <f>Emp5Record!S3</f>
        <v/>
      </c>
      <c r="K4" s="13">
        <f>Emp5Record!AB3</f>
        <v/>
      </c>
      <c r="L4" s="39">
        <f>Emp5Record!AC3</f>
        <v/>
      </c>
      <c r="M4" s="38">
        <f>'Payroll Summary'!E8</f>
        <v/>
      </c>
    </row>
    <row r="5" ht="16.5" customHeight="1">
      <c r="A5" s="14" t="n"/>
      <c r="B5" s="14" t="n"/>
      <c r="C5" s="12">
        <f>Emp5Record!O3</f>
        <v/>
      </c>
      <c r="D5" s="13">
        <f>Emp5Record!R3</f>
        <v/>
      </c>
      <c r="E5" s="13">
        <f>Emp5Record!P3</f>
        <v/>
      </c>
      <c r="F5" s="14" t="n"/>
      <c r="G5" s="12">
        <f>Emp5Record!Q3</f>
        <v/>
      </c>
      <c r="H5" s="14" t="n"/>
      <c r="I5" s="12">
        <f>Emp5Record!K3</f>
        <v/>
      </c>
      <c r="J5" s="13">
        <f>Emp5Record!T3</f>
        <v/>
      </c>
      <c r="K5" s="14" t="n"/>
      <c r="L5" s="30" t="n"/>
      <c r="M5" s="14" t="n"/>
    </row>
    <row r="6" ht="16.5" customHeight="1">
      <c r="A6" s="15" t="n"/>
      <c r="B6" s="15" t="n"/>
      <c r="C6" s="14" t="n"/>
      <c r="D6" s="14" t="n"/>
      <c r="E6" s="12">
        <f>Emp5Record!Z3</f>
        <v/>
      </c>
      <c r="F6" s="15" t="n"/>
      <c r="G6" s="12">
        <f>Emp5Record!AA3</f>
        <v/>
      </c>
      <c r="H6" s="15" t="n"/>
      <c r="I6" s="12">
        <f>Emp5Record!L3</f>
        <v/>
      </c>
      <c r="J6" s="13">
        <f>Emp5Record!U3</f>
        <v/>
      </c>
      <c r="K6" s="15" t="n"/>
      <c r="L6" s="30" t="n"/>
      <c r="M6" s="15" t="n"/>
    </row>
    <row r="7" ht="16.5" customHeight="1">
      <c r="A7" s="15" t="n"/>
      <c r="B7" s="15" t="n"/>
      <c r="C7" s="15" t="n"/>
      <c r="D7" s="15" t="n"/>
      <c r="E7" s="14" t="n"/>
      <c r="F7" s="15" t="n"/>
      <c r="G7" s="14" t="n"/>
      <c r="H7" s="15" t="n"/>
      <c r="I7" s="12">
        <f>Emp5Record!M3</f>
        <v/>
      </c>
      <c r="J7" s="13">
        <f>Emp5Record!V3</f>
        <v/>
      </c>
      <c r="K7" s="15" t="n"/>
      <c r="L7" s="30" t="n"/>
      <c r="M7" s="15" t="n"/>
    </row>
    <row r="8" ht="16.5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2">
        <f>Emp5Record!N3</f>
        <v/>
      </c>
      <c r="J8" s="13">
        <f>Emp5Record!W3</f>
        <v/>
      </c>
      <c r="K8" s="15" t="n"/>
      <c r="L8" s="30" t="n"/>
      <c r="M8" s="15" t="n"/>
    </row>
    <row r="9" ht="16.5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6" t="n"/>
      <c r="J9" s="39">
        <f>Emp5Record!X3</f>
        <v/>
      </c>
      <c r="K9" s="15" t="n"/>
      <c r="L9" s="30" t="n"/>
      <c r="M9" s="15" t="n"/>
    </row>
    <row r="10" ht="16.5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3">
        <f>I4*'Pay Rates'!B10</f>
        <v/>
      </c>
      <c r="J10" s="39">
        <f>Emp5Record!Y3</f>
        <v/>
      </c>
      <c r="K10" s="15" t="n"/>
      <c r="L10" s="30" t="n"/>
      <c r="M10" s="15" t="n"/>
    </row>
    <row r="11" ht="16.5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3">
        <f>I5*'Pay Rates'!B11</f>
        <v/>
      </c>
      <c r="J11" s="15" t="n"/>
      <c r="K11" s="15" t="n"/>
      <c r="L11" s="30" t="n"/>
      <c r="M11" s="15" t="n"/>
    </row>
    <row r="12" ht="16.5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3">
        <f>I6*'Pay Rates'!B12</f>
        <v/>
      </c>
      <c r="J12" s="15" t="n"/>
      <c r="K12" s="15" t="n"/>
      <c r="L12" s="30" t="n"/>
      <c r="M12" s="15" t="n"/>
    </row>
    <row r="13" ht="16.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3">
        <f>I7*'Pay Rates'!B13</f>
        <v/>
      </c>
      <c r="J13" s="15" t="n"/>
      <c r="K13" s="15" t="n"/>
      <c r="L13" s="30" t="n"/>
      <c r="M13" s="15" t="n"/>
    </row>
    <row r="14" ht="16.5" customHeight="1">
      <c r="A14" s="15" t="n"/>
      <c r="B14" s="17" t="n"/>
      <c r="C14" s="17" t="n"/>
      <c r="D14" s="17" t="n"/>
      <c r="E14" s="17" t="n"/>
      <c r="F14" s="17" t="n"/>
      <c r="G14" s="17" t="n"/>
      <c r="H14" s="17" t="n"/>
      <c r="I14" s="18">
        <f>I8*'Pay Rates'!B14</f>
        <v/>
      </c>
      <c r="J14" s="17" t="n"/>
      <c r="K14" s="17" t="n"/>
      <c r="L14" s="30" t="n"/>
      <c r="M14" s="17" t="n"/>
    </row>
    <row r="15" ht="16.5" customHeight="1">
      <c r="A15" s="44">
        <f>A4*'Pay Rates'!B3</f>
        <v/>
      </c>
      <c r="B15" s="44">
        <f>B4*'Pay Rates'!B4</f>
        <v/>
      </c>
      <c r="C15" s="44">
        <f>SUM(C4:C5)</f>
        <v/>
      </c>
      <c r="D15" s="44">
        <f>SUM(D4:D5)</f>
        <v/>
      </c>
      <c r="E15" s="44">
        <f>SUM(E4:E6)</f>
        <v/>
      </c>
      <c r="F15" s="44">
        <f>SUM(F4)</f>
        <v/>
      </c>
      <c r="G15" s="44">
        <f>SUM(G4:G6)</f>
        <v/>
      </c>
      <c r="H15" s="44">
        <f>SUM(H4)</f>
        <v/>
      </c>
      <c r="I15" s="44">
        <f>SUM(I10:I14)</f>
        <v/>
      </c>
      <c r="J15" s="44">
        <f>SUM(J4:J10)</f>
        <v/>
      </c>
      <c r="K15" s="44">
        <f>SUM(K4)</f>
        <v/>
      </c>
      <c r="L15" s="44">
        <f>SUM(L4:L14)</f>
        <v/>
      </c>
      <c r="M15" s="44">
        <f>SUM(M4)</f>
        <v/>
      </c>
    </row>
    <row r="16" ht="16.5" customHeight="1">
      <c r="A16" s="19" t="inlineStr">
        <is>
          <t>Total Pay</t>
        </is>
      </c>
      <c r="B16" s="45">
        <f>SUM(A15:M15)</f>
        <v/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1" t="n"/>
    </row>
    <row r="17" ht="16.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 ht="16.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 ht="16.5" customHeight="1">
      <c r="A19" s="11" t="inlineStr">
        <is>
          <t>Name:</t>
        </is>
      </c>
      <c r="B19" s="11" t="inlineStr">
        <is>
          <t>Mike Mato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 ht="16.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 ht="32" customHeight="1">
      <c r="A21" s="5" t="inlineStr">
        <is>
          <t>Batt&gt;10ft</t>
        </is>
      </c>
      <c r="B21" s="5" t="inlineStr">
        <is>
          <t>Batt&lt;10ft</t>
        </is>
      </c>
      <c r="C21" s="5" t="inlineStr">
        <is>
          <t>Soffit</t>
        </is>
      </c>
      <c r="D21" s="5" t="inlineStr">
        <is>
          <t>Caulk&amp;Foam</t>
        </is>
      </c>
      <c r="E21" s="5" t="inlineStr">
        <is>
          <t>Bonus</t>
        </is>
      </c>
      <c r="F21" s="5" t="inlineStr">
        <is>
          <t>Cellulose</t>
        </is>
      </c>
      <c r="G21" s="5" t="inlineStr">
        <is>
          <t xml:space="preserve">Other Pay </t>
        </is>
      </c>
      <c r="H21" s="5" t="inlineStr">
        <is>
          <t>BIBS</t>
        </is>
      </c>
      <c r="I21" s="5" t="inlineStr">
        <is>
          <t>Attic</t>
        </is>
      </c>
      <c r="J21" s="5" t="inlineStr">
        <is>
          <t>Spray Foam</t>
        </is>
      </c>
      <c r="K21" s="5" t="inlineStr">
        <is>
          <t>Vacation</t>
        </is>
      </c>
      <c r="L21" s="5" t="inlineStr">
        <is>
          <t>Shop Pay</t>
        </is>
      </c>
      <c r="M21" s="5" t="inlineStr">
        <is>
          <t>Holiday</t>
        </is>
      </c>
    </row>
    <row r="22" ht="16.5" customHeight="1">
      <c r="A22" s="12">
        <f>Emp6Record!B3</f>
        <v/>
      </c>
      <c r="B22" s="13">
        <f>Emp6Record!C3</f>
        <v/>
      </c>
      <c r="C22" s="12">
        <f>Emp6Record!D3</f>
        <v/>
      </c>
      <c r="D22" s="13">
        <f>Emp6Record!E3</f>
        <v/>
      </c>
      <c r="E22" s="12">
        <f>Emp6Record!F3</f>
        <v/>
      </c>
      <c r="F22" s="13">
        <f>Emp6Record!G3</f>
        <v/>
      </c>
      <c r="G22" s="12">
        <f>Emp6Record!H3</f>
        <v/>
      </c>
      <c r="H22" s="12">
        <f>Emp6Record!I3</f>
        <v/>
      </c>
      <c r="I22" s="12">
        <f>Emp6Record!J3</f>
        <v/>
      </c>
      <c r="J22" s="12">
        <f>Emp6Record!S3</f>
        <v/>
      </c>
      <c r="K22" s="13">
        <f>Emp6Record!AB3</f>
        <v/>
      </c>
      <c r="L22" s="39">
        <f>Emp6Record!AC3</f>
        <v/>
      </c>
      <c r="M22" s="38">
        <f>'Payroll Summary'!E9</f>
        <v/>
      </c>
    </row>
    <row r="23" ht="16.5" customHeight="1">
      <c r="A23" s="14" t="n"/>
      <c r="B23" s="14" t="n"/>
      <c r="C23" s="12">
        <f>Emp6Record!O3</f>
        <v/>
      </c>
      <c r="D23" s="13">
        <f>Emp6Record!R3</f>
        <v/>
      </c>
      <c r="E23" s="13">
        <f>Emp6Record!P3</f>
        <v/>
      </c>
      <c r="F23" s="14" t="n"/>
      <c r="G23" s="12">
        <f>Emp6Record!Q3</f>
        <v/>
      </c>
      <c r="H23" s="14" t="n"/>
      <c r="I23" s="12">
        <f>Emp6Record!K3</f>
        <v/>
      </c>
      <c r="J23" s="13">
        <f>Emp6Record!T3</f>
        <v/>
      </c>
      <c r="K23" s="14" t="n"/>
      <c r="L23" s="30" t="n"/>
      <c r="M23" s="14" t="n"/>
    </row>
    <row r="24" ht="16.5" customHeight="1">
      <c r="A24" s="15" t="n"/>
      <c r="B24" s="15" t="n"/>
      <c r="C24" s="14" t="n"/>
      <c r="D24" s="14" t="n"/>
      <c r="E24" s="12">
        <f>Emp6Record!Z3</f>
        <v/>
      </c>
      <c r="F24" s="15" t="n"/>
      <c r="G24" s="12">
        <f>Emp6Record!AA3</f>
        <v/>
      </c>
      <c r="H24" s="15" t="n"/>
      <c r="I24" s="12">
        <f>Emp6Record!L3</f>
        <v/>
      </c>
      <c r="J24" s="13">
        <f>Emp6Record!U3</f>
        <v/>
      </c>
      <c r="K24" s="15" t="n"/>
      <c r="L24" s="30" t="n"/>
      <c r="M24" s="15" t="n"/>
    </row>
    <row r="25" ht="16.5" customHeight="1">
      <c r="A25" s="15" t="n"/>
      <c r="B25" s="15" t="n"/>
      <c r="C25" s="15" t="n"/>
      <c r="D25" s="15" t="n"/>
      <c r="E25" s="14" t="n"/>
      <c r="F25" s="15" t="n"/>
      <c r="G25" s="14" t="n"/>
      <c r="H25" s="15" t="n"/>
      <c r="I25" s="12">
        <f>Emp6Record!M3</f>
        <v/>
      </c>
      <c r="J25" s="13">
        <f>Emp6Record!V3</f>
        <v/>
      </c>
      <c r="K25" s="15" t="n"/>
      <c r="L25" s="30" t="n"/>
      <c r="M25" s="15" t="n"/>
    </row>
    <row r="26" ht="16.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2">
        <f>Emp6Record!N3</f>
        <v/>
      </c>
      <c r="J26" s="13">
        <f>Emp6Record!W3</f>
        <v/>
      </c>
      <c r="K26" s="15" t="n"/>
      <c r="L26" s="30" t="n"/>
      <c r="M26" s="15" t="n"/>
    </row>
    <row r="27" ht="16.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6" t="n"/>
      <c r="J27" s="39">
        <f>Emp6Record!X3</f>
        <v/>
      </c>
      <c r="K27" s="15" t="n"/>
      <c r="L27" s="30" t="n"/>
      <c r="M27" s="15" t="n"/>
    </row>
    <row r="28" ht="16.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3">
        <f>I22*'Pay Rates'!B10</f>
        <v/>
      </c>
      <c r="J28" s="39">
        <f>Emp6Record!Y3</f>
        <v/>
      </c>
      <c r="K28" s="15" t="n"/>
      <c r="L28" s="30" t="n"/>
      <c r="M28" s="15" t="n"/>
    </row>
    <row r="29" ht="16.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3">
        <f>I23*'Pay Rates'!B11</f>
        <v/>
      </c>
      <c r="J29" s="15" t="n"/>
      <c r="K29" s="15" t="n"/>
      <c r="L29" s="30" t="n"/>
      <c r="M29" s="15" t="n"/>
    </row>
    <row r="30" ht="16.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3">
        <f>I24*'Pay Rates'!B12</f>
        <v/>
      </c>
      <c r="J30" s="15" t="n"/>
      <c r="K30" s="15" t="n"/>
      <c r="L30" s="30" t="n"/>
      <c r="M30" s="15" t="n"/>
    </row>
    <row r="31" ht="16.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3">
        <f>I25*'Pay Rates'!B13</f>
        <v/>
      </c>
      <c r="J31" s="15" t="n"/>
      <c r="K31" s="15" t="n"/>
      <c r="L31" s="30" t="n"/>
      <c r="M31" s="15" t="n"/>
    </row>
    <row r="32" ht="16.5" customHeight="1">
      <c r="A32" s="15" t="n"/>
      <c r="B32" s="17" t="n"/>
      <c r="C32" s="17" t="n"/>
      <c r="D32" s="17" t="n"/>
      <c r="E32" s="17" t="n"/>
      <c r="F32" s="17" t="n"/>
      <c r="G32" s="17" t="n"/>
      <c r="H32" s="17" t="n"/>
      <c r="I32" s="18">
        <f>I26*'Pay Rates'!B14</f>
        <v/>
      </c>
      <c r="J32" s="17" t="n"/>
      <c r="K32" s="17" t="n"/>
      <c r="L32" s="30" t="n"/>
      <c r="M32" s="17" t="n"/>
    </row>
    <row r="33" ht="16.5" customHeight="1">
      <c r="A33" s="44">
        <f>A22*'Pay Rates'!B3</f>
        <v/>
      </c>
      <c r="B33" s="44">
        <f>B22*'Pay Rates'!B4</f>
        <v/>
      </c>
      <c r="C33" s="44">
        <f>SUM(C22:C23)</f>
        <v/>
      </c>
      <c r="D33" s="44">
        <f>SUM(D22:D23)</f>
        <v/>
      </c>
      <c r="E33" s="44">
        <f>SUM(E22:E24)</f>
        <v/>
      </c>
      <c r="F33" s="44">
        <f>SUM(F22)</f>
        <v/>
      </c>
      <c r="G33" s="44">
        <f>SUM(G22:G24)</f>
        <v/>
      </c>
      <c r="H33" s="44">
        <f>SUM(H22)</f>
        <v/>
      </c>
      <c r="I33" s="44">
        <f>SUM(I28:I32)</f>
        <v/>
      </c>
      <c r="J33" s="44">
        <f>SUM(J22:J28)</f>
        <v/>
      </c>
      <c r="K33" s="44">
        <f>SUM(K22)</f>
        <v/>
      </c>
      <c r="L33" s="44">
        <f>SUM(L22:L32)</f>
        <v/>
      </c>
      <c r="M33" s="44">
        <f>SUM(M22)</f>
        <v/>
      </c>
    </row>
    <row r="34" ht="16.5" customHeight="1">
      <c r="A34" s="19" t="inlineStr">
        <is>
          <t>Total Pay</t>
        </is>
      </c>
      <c r="B34" s="45">
        <f>SUM(A33:M33)</f>
        <v/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1" t="n"/>
    </row>
  </sheetData>
  <pageMargins left="0.7" right="0.7" top="0.75" bottom="0.75" header="0.3" footer="0.3"/>
  <pageSetup orientation="landscape" scale="8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topLeftCell="A14" zoomScale="102" workbookViewId="0">
      <selection activeCell="L4" sqref="L4"/>
    </sheetView>
  </sheetViews>
  <sheetFormatPr baseColWidth="8" defaultRowHeight="14.5"/>
  <sheetData>
    <row r="1" ht="16.5" customHeight="1">
      <c r="A1" s="11" t="inlineStr">
        <is>
          <t>Name:</t>
        </is>
      </c>
      <c r="B1" s="11" t="inlineStr">
        <is>
          <t>Mike Mato Jr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</row>
    <row r="2" ht="16.5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 ht="32" customHeight="1">
      <c r="A3" s="5" t="inlineStr">
        <is>
          <t>Batt&gt;10ft</t>
        </is>
      </c>
      <c r="B3" s="5" t="inlineStr">
        <is>
          <t>Batt&lt;10ft</t>
        </is>
      </c>
      <c r="C3" s="5" t="inlineStr">
        <is>
          <t>Soffit</t>
        </is>
      </c>
      <c r="D3" s="5" t="inlineStr">
        <is>
          <t>Caulk&amp;Foam</t>
        </is>
      </c>
      <c r="E3" s="5" t="inlineStr">
        <is>
          <t>Bonus</t>
        </is>
      </c>
      <c r="F3" s="5" t="inlineStr">
        <is>
          <t>Cellulose</t>
        </is>
      </c>
      <c r="G3" s="5" t="inlineStr">
        <is>
          <t xml:space="preserve">Other Pay </t>
        </is>
      </c>
      <c r="H3" s="5" t="inlineStr">
        <is>
          <t>BIBS</t>
        </is>
      </c>
      <c r="I3" s="5" t="inlineStr">
        <is>
          <t>Attic</t>
        </is>
      </c>
      <c r="J3" s="5" t="inlineStr">
        <is>
          <t>Spray Foam</t>
        </is>
      </c>
      <c r="K3" s="5" t="inlineStr">
        <is>
          <t>Vacation</t>
        </is>
      </c>
      <c r="L3" s="5" t="inlineStr">
        <is>
          <t>Shop Pay</t>
        </is>
      </c>
      <c r="M3" s="5" t="inlineStr">
        <is>
          <t>Holiday</t>
        </is>
      </c>
    </row>
    <row r="4" ht="16.5" customHeight="1">
      <c r="A4" s="12">
        <f>Emp7Record!B3</f>
        <v/>
      </c>
      <c r="B4" s="13">
        <f>Emp7Record!C3</f>
        <v/>
      </c>
      <c r="C4" s="12">
        <f>Emp7Record!D3</f>
        <v/>
      </c>
      <c r="D4" s="13">
        <f>Emp7Record!E3</f>
        <v/>
      </c>
      <c r="E4" s="12">
        <f>Emp7Record!F3</f>
        <v/>
      </c>
      <c r="F4" s="13">
        <f>Emp7Record!G3</f>
        <v/>
      </c>
      <c r="G4" s="12">
        <f>Emp7Record!H3</f>
        <v/>
      </c>
      <c r="H4" s="12">
        <f>Emp7Record!I3</f>
        <v/>
      </c>
      <c r="I4" s="12">
        <f>Emp7Record!J3</f>
        <v/>
      </c>
      <c r="J4" s="12">
        <f>Emp7Record!S3</f>
        <v/>
      </c>
      <c r="K4" s="13">
        <f>Emp7Record!AB3</f>
        <v/>
      </c>
      <c r="L4" s="39">
        <f>Emp7Record!AC3</f>
        <v/>
      </c>
      <c r="M4" s="38">
        <f>'Payroll Summary'!E10</f>
        <v/>
      </c>
    </row>
    <row r="5" ht="16.5" customHeight="1">
      <c r="A5" s="14" t="n"/>
      <c r="B5" s="14" t="n"/>
      <c r="C5" s="12">
        <f>Emp7Record!O3</f>
        <v/>
      </c>
      <c r="D5" s="13">
        <f>Emp7Record!R3</f>
        <v/>
      </c>
      <c r="E5" s="13">
        <f>Emp7Record!P3</f>
        <v/>
      </c>
      <c r="F5" s="14" t="n"/>
      <c r="G5" s="12">
        <f>Emp7Record!Q3</f>
        <v/>
      </c>
      <c r="H5" s="14" t="n"/>
      <c r="I5" s="12">
        <f>Emp7Record!K3</f>
        <v/>
      </c>
      <c r="J5" s="13">
        <f>Emp7Record!T3</f>
        <v/>
      </c>
      <c r="K5" s="14" t="n"/>
      <c r="L5" s="30" t="n"/>
      <c r="M5" s="14" t="n"/>
    </row>
    <row r="6" ht="16.5" customHeight="1">
      <c r="A6" s="15" t="n"/>
      <c r="B6" s="15" t="n"/>
      <c r="C6" s="14" t="n"/>
      <c r="D6" s="14" t="n"/>
      <c r="E6" s="12">
        <f>Emp7Record!Z3</f>
        <v/>
      </c>
      <c r="F6" s="15" t="n"/>
      <c r="G6" s="12">
        <f>Emp7Record!AA3</f>
        <v/>
      </c>
      <c r="H6" s="15" t="n"/>
      <c r="I6" s="12">
        <f>Emp7Record!L3</f>
        <v/>
      </c>
      <c r="J6" s="13">
        <f>Emp7Record!U3</f>
        <v/>
      </c>
      <c r="K6" s="15" t="n"/>
      <c r="L6" s="30" t="n"/>
      <c r="M6" s="15" t="n"/>
    </row>
    <row r="7" ht="16.5" customHeight="1">
      <c r="A7" s="15" t="n"/>
      <c r="B7" s="15" t="n"/>
      <c r="C7" s="15" t="n"/>
      <c r="D7" s="15" t="n"/>
      <c r="E7" s="14" t="n"/>
      <c r="F7" s="15" t="n"/>
      <c r="G7" s="14" t="n"/>
      <c r="H7" s="15" t="n"/>
      <c r="I7" s="12">
        <f>Emp7Record!M3</f>
        <v/>
      </c>
      <c r="J7" s="13">
        <f>Emp7Record!V3</f>
        <v/>
      </c>
      <c r="K7" s="15" t="n"/>
      <c r="L7" s="30" t="n"/>
      <c r="M7" s="15" t="n"/>
    </row>
    <row r="8" ht="16.5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2">
        <f>Emp7Record!N3</f>
        <v/>
      </c>
      <c r="J8" s="13">
        <f>Emp7Record!W3</f>
        <v/>
      </c>
      <c r="K8" s="15" t="n"/>
      <c r="L8" s="30" t="n"/>
      <c r="M8" s="15" t="n"/>
    </row>
    <row r="9" ht="16.5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6" t="n"/>
      <c r="J9" s="39">
        <f>Emp7Record!X3</f>
        <v/>
      </c>
      <c r="K9" s="15" t="n"/>
      <c r="L9" s="30" t="n"/>
      <c r="M9" s="15" t="n"/>
    </row>
    <row r="10" ht="16.5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3">
        <f>I4*'Pay Rates'!B10</f>
        <v/>
      </c>
      <c r="J10" s="39">
        <f>Emp7Record!Y3</f>
        <v/>
      </c>
      <c r="K10" s="15" t="n"/>
      <c r="L10" s="30" t="n"/>
      <c r="M10" s="15" t="n"/>
    </row>
    <row r="11" ht="16.5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3">
        <f>I5*'Pay Rates'!B11</f>
        <v/>
      </c>
      <c r="J11" s="15" t="n"/>
      <c r="K11" s="15" t="n"/>
      <c r="L11" s="30" t="n"/>
      <c r="M11" s="15" t="n"/>
    </row>
    <row r="12" ht="16.5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3">
        <f>I6*'Pay Rates'!B12</f>
        <v/>
      </c>
      <c r="J12" s="15" t="n"/>
      <c r="K12" s="15" t="n"/>
      <c r="L12" s="30" t="n"/>
      <c r="M12" s="15" t="n"/>
    </row>
    <row r="13" ht="16.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3">
        <f>I7*'Pay Rates'!B13</f>
        <v/>
      </c>
      <c r="J13" s="15" t="n"/>
      <c r="K13" s="15" t="n"/>
      <c r="L13" s="30" t="n"/>
      <c r="M13" s="15" t="n"/>
    </row>
    <row r="14" ht="16.5" customHeight="1">
      <c r="A14" s="15" t="n"/>
      <c r="B14" s="17" t="n"/>
      <c r="C14" s="17" t="n"/>
      <c r="D14" s="17" t="n"/>
      <c r="E14" s="17" t="n"/>
      <c r="F14" s="17" t="n"/>
      <c r="G14" s="17" t="n"/>
      <c r="H14" s="17" t="n"/>
      <c r="I14" s="18">
        <f>I8*'Pay Rates'!B14</f>
        <v/>
      </c>
      <c r="J14" s="17" t="n"/>
      <c r="K14" s="17" t="n"/>
      <c r="L14" s="30" t="n"/>
      <c r="M14" s="17" t="n"/>
    </row>
    <row r="15" ht="16.5" customHeight="1">
      <c r="A15" s="44">
        <f>A4*'Pay Rates'!B3</f>
        <v/>
      </c>
      <c r="B15" s="44">
        <f>B4*'Pay Rates'!B4</f>
        <v/>
      </c>
      <c r="C15" s="44">
        <f>SUM(C4:C5)</f>
        <v/>
      </c>
      <c r="D15" s="44">
        <f>SUM(D4:D5)</f>
        <v/>
      </c>
      <c r="E15" s="44">
        <f>SUM(E4:E6)</f>
        <v/>
      </c>
      <c r="F15" s="44">
        <f>SUM(F4)</f>
        <v/>
      </c>
      <c r="G15" s="44">
        <f>SUM(G4:G6)</f>
        <v/>
      </c>
      <c r="H15" s="44">
        <f>SUM(H4)</f>
        <v/>
      </c>
      <c r="I15" s="44">
        <f>SUM(I10:I14)</f>
        <v/>
      </c>
      <c r="J15" s="44">
        <f>SUM(J4:J10)</f>
        <v/>
      </c>
      <c r="K15" s="44">
        <f>SUM(K4)</f>
        <v/>
      </c>
      <c r="L15" s="44">
        <f>SUM(L4:L14)</f>
        <v/>
      </c>
      <c r="M15" s="44">
        <f>SUM(M4)</f>
        <v/>
      </c>
    </row>
    <row r="16" ht="16.5" customHeight="1">
      <c r="A16" s="19" t="inlineStr">
        <is>
          <t>Total Pay</t>
        </is>
      </c>
      <c r="B16" s="45">
        <f>SUM(A15:M15)</f>
        <v/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1" t="n"/>
    </row>
    <row r="17" ht="16.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 ht="16.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 ht="16.5" customHeight="1">
      <c r="A19" s="11" t="inlineStr">
        <is>
          <t>Name:</t>
        </is>
      </c>
      <c r="B19" s="11" t="inlineStr">
        <is>
          <t>Kenny Ray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 ht="16.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 ht="32" customHeight="1">
      <c r="A21" s="5" t="inlineStr">
        <is>
          <t>Batt&gt;10ft</t>
        </is>
      </c>
      <c r="B21" s="5" t="inlineStr">
        <is>
          <t>Batt&lt;10ft</t>
        </is>
      </c>
      <c r="C21" s="5" t="inlineStr">
        <is>
          <t>Soffit</t>
        </is>
      </c>
      <c r="D21" s="5" t="inlineStr">
        <is>
          <t>Caulk&amp;Foam</t>
        </is>
      </c>
      <c r="E21" s="5" t="inlineStr">
        <is>
          <t>Bonus</t>
        </is>
      </c>
      <c r="F21" s="5" t="inlineStr">
        <is>
          <t>Cellulose</t>
        </is>
      </c>
      <c r="G21" s="5" t="inlineStr">
        <is>
          <t xml:space="preserve">Other Pay </t>
        </is>
      </c>
      <c r="H21" s="5" t="inlineStr">
        <is>
          <t>BIBS</t>
        </is>
      </c>
      <c r="I21" s="5" t="inlineStr">
        <is>
          <t>Attic</t>
        </is>
      </c>
      <c r="J21" s="5" t="inlineStr">
        <is>
          <t>Spray Foam</t>
        </is>
      </c>
      <c r="K21" s="5" t="inlineStr">
        <is>
          <t>Vacation</t>
        </is>
      </c>
      <c r="L21" s="5" t="inlineStr">
        <is>
          <t>Shop Pay</t>
        </is>
      </c>
      <c r="M21" s="5" t="inlineStr">
        <is>
          <t>Holiday</t>
        </is>
      </c>
    </row>
    <row r="22" ht="16.5" customHeight="1">
      <c r="A22" s="12">
        <f>Emp8Record!B3</f>
        <v/>
      </c>
      <c r="B22" s="13">
        <f>Emp8Record!C3</f>
        <v/>
      </c>
      <c r="C22" s="12">
        <f>Emp8Record!D3</f>
        <v/>
      </c>
      <c r="D22" s="13">
        <f>Emp8Record!E3</f>
        <v/>
      </c>
      <c r="E22" s="12">
        <f>Emp8Record!F3</f>
        <v/>
      </c>
      <c r="F22" s="13">
        <f>Emp8Record!G3</f>
        <v/>
      </c>
      <c r="G22" s="12">
        <f>Emp8Record!H3</f>
        <v/>
      </c>
      <c r="H22" s="12">
        <f>Emp8Record!I3</f>
        <v/>
      </c>
      <c r="I22" s="12">
        <f>Emp8Record!J3</f>
        <v/>
      </c>
      <c r="J22" s="12">
        <f>Emp8Record!S3</f>
        <v/>
      </c>
      <c r="K22" s="13">
        <f>Emp8Record!AB3</f>
        <v/>
      </c>
      <c r="L22" s="39">
        <f>Emp8Record!AC3</f>
        <v/>
      </c>
      <c r="M22" s="38">
        <f>'Payroll Summary'!E11</f>
        <v/>
      </c>
    </row>
    <row r="23" ht="16.5" customHeight="1">
      <c r="A23" s="14" t="n"/>
      <c r="B23" s="14" t="n"/>
      <c r="C23" s="12">
        <f>Emp8Record!O3</f>
        <v/>
      </c>
      <c r="D23" s="13">
        <f>Emp8Record!R3</f>
        <v/>
      </c>
      <c r="E23" s="13">
        <f>Emp8Record!P3</f>
        <v/>
      </c>
      <c r="F23" s="14" t="n"/>
      <c r="G23" s="12">
        <f>Emp8Record!Q3</f>
        <v/>
      </c>
      <c r="H23" s="14" t="n"/>
      <c r="I23" s="12">
        <f>Emp8Record!K3</f>
        <v/>
      </c>
      <c r="J23" s="13">
        <f>Emp8Record!T3</f>
        <v/>
      </c>
      <c r="K23" s="14" t="n"/>
      <c r="L23" s="30" t="n"/>
      <c r="M23" s="14" t="n"/>
    </row>
    <row r="24" ht="16.5" customHeight="1">
      <c r="A24" s="15" t="n"/>
      <c r="B24" s="15" t="n"/>
      <c r="C24" s="14" t="n"/>
      <c r="D24" s="14" t="n"/>
      <c r="E24" s="12">
        <f>Emp8Record!Z3</f>
        <v/>
      </c>
      <c r="F24" s="15" t="n"/>
      <c r="G24" s="12">
        <f>Emp8Record!AA3</f>
        <v/>
      </c>
      <c r="H24" s="15" t="n"/>
      <c r="I24" s="12">
        <f>Emp8Record!L3</f>
        <v/>
      </c>
      <c r="J24" s="13">
        <f>Emp8Record!U3</f>
        <v/>
      </c>
      <c r="K24" s="15" t="n"/>
      <c r="L24" s="30" t="n"/>
      <c r="M24" s="15" t="n"/>
    </row>
    <row r="25" ht="16.5" customHeight="1">
      <c r="A25" s="15" t="n"/>
      <c r="B25" s="15" t="n"/>
      <c r="C25" s="15" t="n"/>
      <c r="D25" s="15" t="n"/>
      <c r="E25" s="14" t="n"/>
      <c r="F25" s="15" t="n"/>
      <c r="G25" s="14" t="n"/>
      <c r="H25" s="15" t="n"/>
      <c r="I25" s="12">
        <f>Emp8Record!M3</f>
        <v/>
      </c>
      <c r="J25" s="13">
        <f>Emp8Record!V3</f>
        <v/>
      </c>
      <c r="K25" s="15" t="n"/>
      <c r="L25" s="30" t="n"/>
      <c r="M25" s="15" t="n"/>
    </row>
    <row r="26" ht="16.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2">
        <f>Emp8Record!N3</f>
        <v/>
      </c>
      <c r="J26" s="13">
        <f>Emp8Record!W3</f>
        <v/>
      </c>
      <c r="K26" s="15" t="n"/>
      <c r="L26" s="30" t="n"/>
      <c r="M26" s="15" t="n"/>
    </row>
    <row r="27" ht="16.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6" t="n"/>
      <c r="J27" s="39">
        <f>Emp8Record!X3</f>
        <v/>
      </c>
      <c r="K27" s="15" t="n"/>
      <c r="L27" s="30" t="n"/>
      <c r="M27" s="15" t="n"/>
    </row>
    <row r="28" ht="16.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3">
        <f>I22*'Pay Rates'!B10</f>
        <v/>
      </c>
      <c r="J28" s="39">
        <f>Emp8Record!Y3</f>
        <v/>
      </c>
      <c r="K28" s="15" t="n"/>
      <c r="L28" s="30" t="n"/>
      <c r="M28" s="15" t="n"/>
    </row>
    <row r="29" ht="16.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3">
        <f>I23*'Pay Rates'!B11</f>
        <v/>
      </c>
      <c r="J29" s="15" t="n"/>
      <c r="K29" s="15" t="n"/>
      <c r="L29" s="30" t="n"/>
      <c r="M29" s="15" t="n"/>
    </row>
    <row r="30" ht="16.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3">
        <f>I24*'Pay Rates'!B12</f>
        <v/>
      </c>
      <c r="J30" s="15" t="n"/>
      <c r="K30" s="15" t="n"/>
      <c r="L30" s="30" t="n"/>
      <c r="M30" s="15" t="n"/>
    </row>
    <row r="31" ht="16.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3">
        <f>I25*'Pay Rates'!B13</f>
        <v/>
      </c>
      <c r="J31" s="15" t="n"/>
      <c r="K31" s="15" t="n"/>
      <c r="L31" s="30" t="n"/>
      <c r="M31" s="15" t="n"/>
    </row>
    <row r="32" ht="16.5" customHeight="1">
      <c r="A32" s="15" t="n"/>
      <c r="B32" s="17" t="n"/>
      <c r="C32" s="17" t="n"/>
      <c r="D32" s="17" t="n"/>
      <c r="E32" s="17" t="n"/>
      <c r="F32" s="17" t="n"/>
      <c r="G32" s="17" t="n"/>
      <c r="H32" s="17" t="n"/>
      <c r="I32" s="18">
        <f>I26*'Pay Rates'!B14</f>
        <v/>
      </c>
      <c r="J32" s="17" t="n"/>
      <c r="K32" s="17" t="n"/>
      <c r="L32" s="30" t="n"/>
      <c r="M32" s="17" t="n"/>
    </row>
    <row r="33" ht="16.5" customHeight="1">
      <c r="A33" s="44">
        <f>A22*'Pay Rates'!B3</f>
        <v/>
      </c>
      <c r="B33" s="44">
        <f>B22*'Pay Rates'!B4</f>
        <v/>
      </c>
      <c r="C33" s="44">
        <f>SUM(C22:C23)</f>
        <v/>
      </c>
      <c r="D33" s="44">
        <f>SUM(D22:D23)</f>
        <v/>
      </c>
      <c r="E33" s="44">
        <f>SUM(E22:E24)</f>
        <v/>
      </c>
      <c r="F33" s="44">
        <f>SUM(F22)</f>
        <v/>
      </c>
      <c r="G33" s="44">
        <f>SUM(G22:G24)</f>
        <v/>
      </c>
      <c r="H33" s="44">
        <f>SUM(H22)</f>
        <v/>
      </c>
      <c r="I33" s="44">
        <f>SUM(I28:I32)</f>
        <v/>
      </c>
      <c r="J33" s="44">
        <f>SUM(J22:J28)</f>
        <v/>
      </c>
      <c r="K33" s="44">
        <f>SUM(K22)</f>
        <v/>
      </c>
      <c r="L33" s="44">
        <f>SUM(L22:L32)</f>
        <v/>
      </c>
      <c r="M33" s="44">
        <f>SUM(M22)</f>
        <v/>
      </c>
    </row>
    <row r="34" ht="16.5" customHeight="1">
      <c r="A34" s="19" t="inlineStr">
        <is>
          <t>Total Pay</t>
        </is>
      </c>
      <c r="B34" s="45">
        <f>SUM(A33:M33)</f>
        <v/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1" t="n"/>
    </row>
  </sheetData>
  <pageMargins left="0.7" right="0.7" top="0.75" bottom="0.75" header="0.3" footer="0.3"/>
  <pageSetup orientation="landscape" scale="8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topLeftCell="A25" workbookViewId="0">
      <selection activeCell="L22" sqref="L22"/>
    </sheetView>
  </sheetViews>
  <sheetFormatPr baseColWidth="8" defaultRowHeight="14.5"/>
  <sheetData>
    <row r="1" ht="16.5" customHeight="1">
      <c r="A1" s="11" t="inlineStr">
        <is>
          <t>Name:</t>
        </is>
      </c>
      <c r="B1" s="11" t="inlineStr">
        <is>
          <t>New Employee 1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</row>
    <row r="2" ht="16.5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 ht="32" customHeight="1">
      <c r="A3" s="5" t="inlineStr">
        <is>
          <t>Batt&gt;10ft</t>
        </is>
      </c>
      <c r="B3" s="5" t="inlineStr">
        <is>
          <t>Batt&lt;10ft</t>
        </is>
      </c>
      <c r="C3" s="5" t="inlineStr">
        <is>
          <t>Soffit</t>
        </is>
      </c>
      <c r="D3" s="5" t="inlineStr">
        <is>
          <t>Caulk&amp;Foam</t>
        </is>
      </c>
      <c r="E3" s="5" t="inlineStr">
        <is>
          <t>Bonus</t>
        </is>
      </c>
      <c r="F3" s="5" t="inlineStr">
        <is>
          <t>Cellulose</t>
        </is>
      </c>
      <c r="G3" s="5" t="inlineStr">
        <is>
          <t xml:space="preserve">Other Pay </t>
        </is>
      </c>
      <c r="H3" s="5" t="inlineStr">
        <is>
          <t>BIBS</t>
        </is>
      </c>
      <c r="I3" s="5" t="inlineStr">
        <is>
          <t>Attic</t>
        </is>
      </c>
      <c r="J3" s="5" t="inlineStr">
        <is>
          <t>Spray Foam</t>
        </is>
      </c>
      <c r="K3" s="5" t="inlineStr">
        <is>
          <t>Vacation</t>
        </is>
      </c>
      <c r="L3" s="5" t="inlineStr">
        <is>
          <t>Shop Pay</t>
        </is>
      </c>
      <c r="M3" s="5" t="inlineStr">
        <is>
          <t>Holiday</t>
        </is>
      </c>
    </row>
    <row r="4" ht="16.5" customHeight="1">
      <c r="A4" s="12">
        <f>Emp9Record!B3</f>
        <v/>
      </c>
      <c r="B4" s="13">
        <f>Emp9Record!C3</f>
        <v/>
      </c>
      <c r="C4" s="12">
        <f>Emp9Record!D3</f>
        <v/>
      </c>
      <c r="D4" s="13">
        <f>Emp9Record!E3</f>
        <v/>
      </c>
      <c r="E4" s="12">
        <f>Emp9Record!F3</f>
        <v/>
      </c>
      <c r="F4" s="13">
        <f>Emp9Record!G3</f>
        <v/>
      </c>
      <c r="G4" s="12">
        <f>Emp9Record!H3</f>
        <v/>
      </c>
      <c r="H4" s="12">
        <f>Emp9Record!I3</f>
        <v/>
      </c>
      <c r="I4" s="12">
        <f>Emp9Record!J3</f>
        <v/>
      </c>
      <c r="J4" s="12">
        <f>Emp9Record!S3</f>
        <v/>
      </c>
      <c r="K4" s="13">
        <f>Emp9Record!AB3</f>
        <v/>
      </c>
      <c r="L4" s="39">
        <f>Emp9Record!AC3</f>
        <v/>
      </c>
      <c r="M4" s="38">
        <f>'Payroll Summary'!E12</f>
        <v/>
      </c>
    </row>
    <row r="5" ht="16.5" customHeight="1">
      <c r="A5" s="14" t="n"/>
      <c r="B5" s="14" t="n"/>
      <c r="C5" s="12">
        <f>Emp9Record!O3</f>
        <v/>
      </c>
      <c r="D5" s="13">
        <f>Emp9Record!R3</f>
        <v/>
      </c>
      <c r="E5" s="13">
        <f>Emp9Record!P3</f>
        <v/>
      </c>
      <c r="F5" s="14" t="n"/>
      <c r="G5" s="12">
        <f>Emp9Record!Q3</f>
        <v/>
      </c>
      <c r="H5" s="14" t="n"/>
      <c r="I5" s="12">
        <f>Emp9Record!K3</f>
        <v/>
      </c>
      <c r="J5" s="13">
        <f>Emp9Record!T3</f>
        <v/>
      </c>
      <c r="K5" s="14" t="n"/>
      <c r="L5" s="30" t="n"/>
      <c r="M5" s="14" t="n"/>
    </row>
    <row r="6" ht="16.5" customHeight="1">
      <c r="A6" s="15" t="n"/>
      <c r="B6" s="15" t="n"/>
      <c r="C6" s="14" t="n"/>
      <c r="D6" s="14" t="n"/>
      <c r="E6" s="12">
        <f>Emp9Record!Z3</f>
        <v/>
      </c>
      <c r="F6" s="15" t="n"/>
      <c r="G6" s="12">
        <f>Emp9Record!AA3</f>
        <v/>
      </c>
      <c r="H6" s="15" t="n"/>
      <c r="I6" s="12">
        <f>Emp9Record!L3</f>
        <v/>
      </c>
      <c r="J6" s="13">
        <f>Emp9Record!U3</f>
        <v/>
      </c>
      <c r="K6" s="15" t="n"/>
      <c r="L6" s="30" t="n"/>
      <c r="M6" s="15" t="n"/>
    </row>
    <row r="7" ht="16.5" customHeight="1">
      <c r="A7" s="15" t="n"/>
      <c r="B7" s="15" t="n"/>
      <c r="C7" s="15" t="n"/>
      <c r="D7" s="15" t="n"/>
      <c r="E7" s="14" t="n"/>
      <c r="F7" s="15" t="n"/>
      <c r="G7" s="14" t="n"/>
      <c r="H7" s="15" t="n"/>
      <c r="I7" s="12">
        <f>Emp9Record!M3</f>
        <v/>
      </c>
      <c r="J7" s="13">
        <f>Emp9Record!V3</f>
        <v/>
      </c>
      <c r="K7" s="15" t="n"/>
      <c r="L7" s="30" t="n"/>
      <c r="M7" s="15" t="n"/>
    </row>
    <row r="8" ht="16.5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2">
        <f>Emp9Record!N3</f>
        <v/>
      </c>
      <c r="J8" s="13">
        <f>Emp9Record!W3</f>
        <v/>
      </c>
      <c r="K8" s="15" t="n"/>
      <c r="L8" s="30" t="n"/>
      <c r="M8" s="15" t="n"/>
    </row>
    <row r="9" ht="16.5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6" t="n"/>
      <c r="J9" s="39">
        <f>Emp9Record!X3</f>
        <v/>
      </c>
      <c r="K9" s="15" t="n"/>
      <c r="L9" s="30" t="n"/>
      <c r="M9" s="15" t="n"/>
    </row>
    <row r="10" ht="16.5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3">
        <f>I4*'Pay Rates'!B10</f>
        <v/>
      </c>
      <c r="J10" s="39">
        <f>Emp9Record!Y3</f>
        <v/>
      </c>
      <c r="K10" s="15" t="n"/>
      <c r="L10" s="30" t="n"/>
      <c r="M10" s="15" t="n"/>
    </row>
    <row r="11" ht="16.5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3">
        <f>I5*'Pay Rates'!B11</f>
        <v/>
      </c>
      <c r="J11" s="15" t="n"/>
      <c r="K11" s="15" t="n"/>
      <c r="L11" s="30" t="n"/>
      <c r="M11" s="15" t="n"/>
    </row>
    <row r="12" ht="16.5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3">
        <f>I6*'Pay Rates'!B12</f>
        <v/>
      </c>
      <c r="J12" s="15" t="n"/>
      <c r="K12" s="15" t="n"/>
      <c r="L12" s="30" t="n"/>
      <c r="M12" s="15" t="n"/>
    </row>
    <row r="13" ht="16.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3">
        <f>I7*'Pay Rates'!B13</f>
        <v/>
      </c>
      <c r="J13" s="15" t="n"/>
      <c r="K13" s="15" t="n"/>
      <c r="L13" s="30" t="n"/>
      <c r="M13" s="15" t="n"/>
    </row>
    <row r="14" ht="16.5" customHeight="1">
      <c r="A14" s="15" t="n"/>
      <c r="B14" s="17" t="n"/>
      <c r="C14" s="17" t="n"/>
      <c r="D14" s="17" t="n"/>
      <c r="E14" s="17" t="n"/>
      <c r="F14" s="17" t="n"/>
      <c r="G14" s="17" t="n"/>
      <c r="H14" s="17" t="n"/>
      <c r="I14" s="18">
        <f>I8*'Pay Rates'!B14</f>
        <v/>
      </c>
      <c r="J14" s="17" t="n"/>
      <c r="K14" s="17" t="n"/>
      <c r="L14" s="30" t="n"/>
      <c r="M14" s="17" t="n"/>
    </row>
    <row r="15" ht="16.5" customHeight="1">
      <c r="A15" s="44">
        <f>A4*'Pay Rates'!B3</f>
        <v/>
      </c>
      <c r="B15" s="44">
        <f>B4*'Pay Rates'!B4</f>
        <v/>
      </c>
      <c r="C15" s="44">
        <f>SUM(C4:C5)</f>
        <v/>
      </c>
      <c r="D15" s="44">
        <f>SUM(D4:D5)</f>
        <v/>
      </c>
      <c r="E15" s="44">
        <f>SUM(E4:E6)</f>
        <v/>
      </c>
      <c r="F15" s="44">
        <f>SUM(F4)</f>
        <v/>
      </c>
      <c r="G15" s="44">
        <f>SUM(G4:G6)</f>
        <v/>
      </c>
      <c r="H15" s="44">
        <f>SUM(H4)</f>
        <v/>
      </c>
      <c r="I15" s="44">
        <f>SUM(I10:I14)</f>
        <v/>
      </c>
      <c r="J15" s="44">
        <f>SUM(J4:J10)</f>
        <v/>
      </c>
      <c r="K15" s="44">
        <f>SUM(K4)</f>
        <v/>
      </c>
      <c r="L15" s="44">
        <f>SUM(L4:L14)</f>
        <v/>
      </c>
      <c r="M15" s="44">
        <f>SUM(M4)</f>
        <v/>
      </c>
    </row>
    <row r="16" ht="16.5" customHeight="1">
      <c r="A16" s="19" t="inlineStr">
        <is>
          <t>Total Pay</t>
        </is>
      </c>
      <c r="B16" s="45">
        <f>SUM(A15:M15)</f>
        <v/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1" t="n"/>
    </row>
    <row r="17" ht="16.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 ht="16.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 ht="16.5" customHeight="1">
      <c r="A19" s="11" t="inlineStr">
        <is>
          <t>Name:</t>
        </is>
      </c>
      <c r="B19" s="11" t="inlineStr">
        <is>
          <t>New Employee2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 ht="16.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 ht="32" customHeight="1">
      <c r="A21" s="5" t="inlineStr">
        <is>
          <t>Batt&gt;10ft</t>
        </is>
      </c>
      <c r="B21" s="5" t="inlineStr">
        <is>
          <t>Batt&lt;10ft</t>
        </is>
      </c>
      <c r="C21" s="5" t="inlineStr">
        <is>
          <t>Soffit</t>
        </is>
      </c>
      <c r="D21" s="5" t="inlineStr">
        <is>
          <t>Caulk&amp;Foam</t>
        </is>
      </c>
      <c r="E21" s="5" t="inlineStr">
        <is>
          <t>Bonus</t>
        </is>
      </c>
      <c r="F21" s="5" t="inlineStr">
        <is>
          <t>Cellulose</t>
        </is>
      </c>
      <c r="G21" s="5" t="inlineStr">
        <is>
          <t xml:space="preserve">Other Pay </t>
        </is>
      </c>
      <c r="H21" s="5" t="inlineStr">
        <is>
          <t>BIBS</t>
        </is>
      </c>
      <c r="I21" s="5" t="inlineStr">
        <is>
          <t>Attic</t>
        </is>
      </c>
      <c r="J21" s="5" t="inlineStr">
        <is>
          <t>Spray Foam</t>
        </is>
      </c>
      <c r="K21" s="5" t="inlineStr">
        <is>
          <t>Vacation</t>
        </is>
      </c>
      <c r="L21" s="5" t="inlineStr">
        <is>
          <t>Shop Pay</t>
        </is>
      </c>
      <c r="M21" s="5" t="inlineStr">
        <is>
          <t>Holiday</t>
        </is>
      </c>
    </row>
    <row r="22" ht="16.5" customHeight="1">
      <c r="A22" s="12">
        <f>Emp10Record!B3</f>
        <v/>
      </c>
      <c r="B22" s="13">
        <f>Emp10Record!C3</f>
        <v/>
      </c>
      <c r="C22" s="12">
        <f>Emp10Record!D3</f>
        <v/>
      </c>
      <c r="D22" s="13">
        <f>Emp10Record!E3</f>
        <v/>
      </c>
      <c r="E22" s="12">
        <f>Emp10Record!F3</f>
        <v/>
      </c>
      <c r="F22" s="13">
        <f>Emp10Record!G3</f>
        <v/>
      </c>
      <c r="G22" s="12">
        <f>Emp10Record!H3</f>
        <v/>
      </c>
      <c r="H22" s="12">
        <f>Emp10Record!I3</f>
        <v/>
      </c>
      <c r="I22" s="12">
        <f>Emp10Record!J3</f>
        <v/>
      </c>
      <c r="J22" s="12">
        <f>Emp10Record!S3</f>
        <v/>
      </c>
      <c r="K22" s="13">
        <f>Emp10Record!AB3</f>
        <v/>
      </c>
      <c r="L22" s="39">
        <f>Emp10Record!AC3</f>
        <v/>
      </c>
      <c r="M22" s="38">
        <f>'Payroll Summary'!E13</f>
        <v/>
      </c>
    </row>
    <row r="23" ht="16.5" customHeight="1">
      <c r="A23" s="14" t="n"/>
      <c r="B23" s="14" t="n"/>
      <c r="C23" s="12">
        <f>Emp10Record!O3</f>
        <v/>
      </c>
      <c r="D23" s="13">
        <f>Emp10Record!R3</f>
        <v/>
      </c>
      <c r="E23" s="13">
        <f>Emp10Record!P3</f>
        <v/>
      </c>
      <c r="F23" s="14" t="n"/>
      <c r="G23" s="12">
        <f>Emp10Record!Q3</f>
        <v/>
      </c>
      <c r="H23" s="14" t="n"/>
      <c r="I23" s="12">
        <f>Emp10Record!K3</f>
        <v/>
      </c>
      <c r="J23" s="13">
        <f>Emp10Record!T3</f>
        <v/>
      </c>
      <c r="K23" s="14" t="n"/>
      <c r="L23" s="30" t="n"/>
      <c r="M23" s="14" t="n"/>
    </row>
    <row r="24" ht="16.5" customHeight="1">
      <c r="A24" s="15" t="n"/>
      <c r="B24" s="15" t="n"/>
      <c r="C24" s="14" t="n"/>
      <c r="D24" s="14" t="n"/>
      <c r="E24" s="12">
        <f>Emp10Record!Z3</f>
        <v/>
      </c>
      <c r="F24" s="15" t="n"/>
      <c r="G24" s="12">
        <f>Emp10Record!AA3</f>
        <v/>
      </c>
      <c r="H24" s="15" t="n"/>
      <c r="I24" s="12">
        <f>Emp10Record!L3</f>
        <v/>
      </c>
      <c r="J24" s="13">
        <f>Emp10Record!U3</f>
        <v/>
      </c>
      <c r="K24" s="15" t="n"/>
      <c r="L24" s="30" t="n"/>
      <c r="M24" s="15" t="n"/>
    </row>
    <row r="25" ht="16.5" customHeight="1">
      <c r="A25" s="15" t="n"/>
      <c r="B25" s="15" t="n"/>
      <c r="C25" s="15" t="n"/>
      <c r="D25" s="15" t="n"/>
      <c r="E25" s="14" t="n"/>
      <c r="F25" s="15" t="n"/>
      <c r="G25" s="14" t="n"/>
      <c r="H25" s="15" t="n"/>
      <c r="I25" s="12">
        <f>Emp10Record!M3</f>
        <v/>
      </c>
      <c r="J25" s="13">
        <f>Emp10Record!V3</f>
        <v/>
      </c>
      <c r="K25" s="15" t="n"/>
      <c r="L25" s="30" t="n"/>
      <c r="M25" s="15" t="n"/>
    </row>
    <row r="26" ht="16.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2">
        <f>Emp10Record!N3</f>
        <v/>
      </c>
      <c r="J26" s="13">
        <f>Emp10Record!W3</f>
        <v/>
      </c>
      <c r="K26" s="15" t="n"/>
      <c r="L26" s="30" t="n"/>
      <c r="M26" s="15" t="n"/>
    </row>
    <row r="27" ht="16.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6" t="n"/>
      <c r="J27" s="39">
        <f>Emp10Record!X3</f>
        <v/>
      </c>
      <c r="K27" s="15" t="n"/>
      <c r="L27" s="30" t="n"/>
      <c r="M27" s="15" t="n"/>
    </row>
    <row r="28" ht="16.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3">
        <f>I22*'Pay Rates'!B10</f>
        <v/>
      </c>
      <c r="J28" s="39">
        <f>Emp10Record!Y3</f>
        <v/>
      </c>
      <c r="K28" s="15" t="n"/>
      <c r="L28" s="30" t="n"/>
      <c r="M28" s="15" t="n"/>
    </row>
    <row r="29" ht="16.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3">
        <f>I23*'Pay Rates'!B11</f>
        <v/>
      </c>
      <c r="J29" s="15" t="n"/>
      <c r="K29" s="15" t="n"/>
      <c r="L29" s="30" t="n"/>
      <c r="M29" s="15" t="n"/>
    </row>
    <row r="30" ht="16.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3">
        <f>I24*'Pay Rates'!B12</f>
        <v/>
      </c>
      <c r="J30" s="15" t="n"/>
      <c r="K30" s="15" t="n"/>
      <c r="L30" s="30" t="n"/>
      <c r="M30" s="15" t="n"/>
    </row>
    <row r="31" ht="16.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3">
        <f>I25*'Pay Rates'!B13</f>
        <v/>
      </c>
      <c r="J31" s="15" t="n"/>
      <c r="K31" s="15" t="n"/>
      <c r="L31" s="30" t="n"/>
      <c r="M31" s="15" t="n"/>
    </row>
    <row r="32" ht="16.5" customHeight="1">
      <c r="A32" s="15" t="n"/>
      <c r="B32" s="17" t="n"/>
      <c r="C32" s="17" t="n"/>
      <c r="D32" s="17" t="n"/>
      <c r="E32" s="17" t="n"/>
      <c r="F32" s="17" t="n"/>
      <c r="G32" s="17" t="n"/>
      <c r="H32" s="17" t="n"/>
      <c r="I32" s="18">
        <f>I26*'Pay Rates'!B14</f>
        <v/>
      </c>
      <c r="J32" s="17" t="n"/>
      <c r="K32" s="17" t="n"/>
      <c r="L32" s="30" t="n"/>
      <c r="M32" s="17" t="n"/>
    </row>
    <row r="33" ht="16.5" customHeight="1">
      <c r="A33" s="44">
        <f>A22*'Pay Rates'!B3</f>
        <v/>
      </c>
      <c r="B33" s="44">
        <f>B22*'Pay Rates'!B4</f>
        <v/>
      </c>
      <c r="C33" s="44">
        <f>SUM(C22:C23)</f>
        <v/>
      </c>
      <c r="D33" s="44">
        <f>SUM(D22:D23)</f>
        <v/>
      </c>
      <c r="E33" s="44">
        <f>SUM(E22:E24)</f>
        <v/>
      </c>
      <c r="F33" s="44">
        <f>SUM(F22)</f>
        <v/>
      </c>
      <c r="G33" s="44">
        <f>SUM(G22:G24)</f>
        <v/>
      </c>
      <c r="H33" s="44">
        <f>SUM(H22)</f>
        <v/>
      </c>
      <c r="I33" s="44">
        <f>SUM(I28:I32)</f>
        <v/>
      </c>
      <c r="J33" s="44">
        <f>SUM(J22:J28)</f>
        <v/>
      </c>
      <c r="K33" s="44">
        <f>SUM(K22)</f>
        <v/>
      </c>
      <c r="L33" s="44">
        <f>SUM(L22:L32)</f>
        <v/>
      </c>
      <c r="M33" s="44">
        <f>SUM(M22)</f>
        <v/>
      </c>
    </row>
    <row r="34" ht="16.5" customHeight="1">
      <c r="A34" s="19" t="inlineStr">
        <is>
          <t>Total Pay</t>
        </is>
      </c>
      <c r="B34" s="45">
        <f>SUM(A33:M33)</f>
        <v/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1" t="n"/>
    </row>
  </sheetData>
  <pageMargins left="0.7" right="0.7" top="0.75" bottom="0.75" header="0.3" footer="0.3"/>
  <pageSetup orientation="landscape" scale="8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topLeftCell="A22" workbookViewId="0">
      <selection activeCell="M4" sqref="M4"/>
    </sheetView>
  </sheetViews>
  <sheetFormatPr baseColWidth="8" defaultRowHeight="14.5"/>
  <sheetData>
    <row r="1" ht="16.5" customHeight="1">
      <c r="A1" s="11" t="inlineStr">
        <is>
          <t>Name:</t>
        </is>
      </c>
      <c r="B1" s="11" t="inlineStr">
        <is>
          <t>New Employee3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</row>
    <row r="2" ht="16.5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 ht="32" customHeight="1">
      <c r="A3" s="5" t="inlineStr">
        <is>
          <t>Batt&gt;10ft</t>
        </is>
      </c>
      <c r="B3" s="5" t="inlineStr">
        <is>
          <t>Batt&lt;10ft</t>
        </is>
      </c>
      <c r="C3" s="5" t="inlineStr">
        <is>
          <t>Soffit</t>
        </is>
      </c>
      <c r="D3" s="5" t="inlineStr">
        <is>
          <t>Caulk&amp;Foam</t>
        </is>
      </c>
      <c r="E3" s="5" t="inlineStr">
        <is>
          <t>Bonus</t>
        </is>
      </c>
      <c r="F3" s="5" t="inlineStr">
        <is>
          <t>Cellulose</t>
        </is>
      </c>
      <c r="G3" s="5" t="inlineStr">
        <is>
          <t xml:space="preserve">Other Pay </t>
        </is>
      </c>
      <c r="H3" s="5" t="inlineStr">
        <is>
          <t>BIBS</t>
        </is>
      </c>
      <c r="I3" s="5" t="inlineStr">
        <is>
          <t>Attic</t>
        </is>
      </c>
      <c r="J3" s="5" t="inlineStr">
        <is>
          <t>Spray Foam</t>
        </is>
      </c>
      <c r="K3" s="5" t="inlineStr">
        <is>
          <t>Vacation</t>
        </is>
      </c>
      <c r="L3" s="5" t="inlineStr">
        <is>
          <t>Shop Pay</t>
        </is>
      </c>
      <c r="M3" s="5" t="inlineStr">
        <is>
          <t>Holiday</t>
        </is>
      </c>
    </row>
    <row r="4" ht="16.5" customHeight="1">
      <c r="A4" s="12">
        <f>Emp11Record!B3</f>
        <v/>
      </c>
      <c r="B4" s="13">
        <f>Emp11Record!C3</f>
        <v/>
      </c>
      <c r="C4" s="12">
        <f>Emp11Record!D3</f>
        <v/>
      </c>
      <c r="D4" s="13">
        <f>Emp11Record!E3</f>
        <v/>
      </c>
      <c r="E4" s="12">
        <f>Emp11Record!F3</f>
        <v/>
      </c>
      <c r="F4" s="13">
        <f>Emp11Record!G3</f>
        <v/>
      </c>
      <c r="G4" s="12">
        <f>Emp11Record!H3</f>
        <v/>
      </c>
      <c r="H4" s="12">
        <f>Emp11Record!I3</f>
        <v/>
      </c>
      <c r="I4" s="12">
        <f>Emp11Record!J3</f>
        <v/>
      </c>
      <c r="J4" s="12">
        <f>Emp11Record!S3</f>
        <v/>
      </c>
      <c r="K4" s="13">
        <f>Emp11Record!AB3</f>
        <v/>
      </c>
      <c r="L4" s="39">
        <f>Emp11Record!AC3</f>
        <v/>
      </c>
      <c r="M4" s="38">
        <f>'Payroll Summary'!E14</f>
        <v/>
      </c>
    </row>
    <row r="5" ht="16.5" customHeight="1">
      <c r="A5" s="14" t="n"/>
      <c r="B5" s="14" t="n"/>
      <c r="C5" s="12">
        <f>Emp11Record!O3</f>
        <v/>
      </c>
      <c r="D5" s="13">
        <f>Emp11Record!R3</f>
        <v/>
      </c>
      <c r="E5" s="13">
        <f>Emp11Record!P3</f>
        <v/>
      </c>
      <c r="F5" s="14" t="n"/>
      <c r="G5" s="12">
        <f>Emp11Record!Q3</f>
        <v/>
      </c>
      <c r="H5" s="14" t="n"/>
      <c r="I5" s="12">
        <f>Emp11Record!K3</f>
        <v/>
      </c>
      <c r="J5" s="13">
        <f>Emp11Record!T3</f>
        <v/>
      </c>
      <c r="K5" s="14" t="n"/>
      <c r="L5" s="30" t="n"/>
      <c r="M5" s="14" t="n"/>
    </row>
    <row r="6" ht="16.5" customHeight="1">
      <c r="A6" s="15" t="n"/>
      <c r="B6" s="15" t="n"/>
      <c r="C6" s="14" t="n"/>
      <c r="D6" s="14" t="n"/>
      <c r="E6" s="12">
        <f>Emp11Record!Z3</f>
        <v/>
      </c>
      <c r="F6" s="15" t="n"/>
      <c r="G6" s="12">
        <f>Emp11Record!AA3</f>
        <v/>
      </c>
      <c r="H6" s="15" t="n"/>
      <c r="I6" s="12">
        <f>Emp11Record!L3</f>
        <v/>
      </c>
      <c r="J6" s="13">
        <f>Emp11Record!U3</f>
        <v/>
      </c>
      <c r="K6" s="15" t="n"/>
      <c r="L6" s="30" t="n"/>
      <c r="M6" s="15" t="n"/>
    </row>
    <row r="7" ht="16.5" customHeight="1">
      <c r="A7" s="15" t="n"/>
      <c r="B7" s="15" t="n"/>
      <c r="C7" s="15" t="n"/>
      <c r="D7" s="15" t="n"/>
      <c r="E7" s="14" t="n"/>
      <c r="F7" s="15" t="n"/>
      <c r="G7" s="14" t="n"/>
      <c r="H7" s="15" t="n"/>
      <c r="I7" s="12">
        <f>Emp11Record!M3</f>
        <v/>
      </c>
      <c r="J7" s="13">
        <f>Emp11Record!V3</f>
        <v/>
      </c>
      <c r="K7" s="15" t="n"/>
      <c r="L7" s="30" t="n"/>
      <c r="M7" s="15" t="n"/>
    </row>
    <row r="8" ht="16.5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2">
        <f>Emp11Record!N3</f>
        <v/>
      </c>
      <c r="J8" s="13">
        <f>Emp11Record!W3</f>
        <v/>
      </c>
      <c r="K8" s="15" t="n"/>
      <c r="L8" s="30" t="n"/>
      <c r="M8" s="15" t="n"/>
    </row>
    <row r="9" ht="16.5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6" t="n"/>
      <c r="J9" s="39">
        <f>Emp11Record!X3</f>
        <v/>
      </c>
      <c r="K9" s="15" t="n"/>
      <c r="L9" s="30" t="n"/>
      <c r="M9" s="15" t="n"/>
    </row>
    <row r="10" ht="16.5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3">
        <f>I4*'Pay Rates'!B10</f>
        <v/>
      </c>
      <c r="J10" s="39">
        <f>Emp11Record!Y3</f>
        <v/>
      </c>
      <c r="K10" s="15" t="n"/>
      <c r="L10" s="30" t="n"/>
      <c r="M10" s="15" t="n"/>
    </row>
    <row r="11" ht="16.5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3">
        <f>I5*'Pay Rates'!B11</f>
        <v/>
      </c>
      <c r="J11" s="15" t="n"/>
      <c r="K11" s="15" t="n"/>
      <c r="L11" s="30" t="n"/>
      <c r="M11" s="15" t="n"/>
    </row>
    <row r="12" ht="16.5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3">
        <f>I6*'Pay Rates'!B12</f>
        <v/>
      </c>
      <c r="J12" s="15" t="n"/>
      <c r="K12" s="15" t="n"/>
      <c r="L12" s="30" t="n"/>
      <c r="M12" s="15" t="n"/>
    </row>
    <row r="13" ht="16.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3">
        <f>I7*'Pay Rates'!B13</f>
        <v/>
      </c>
      <c r="J13" s="15" t="n"/>
      <c r="K13" s="15" t="n"/>
      <c r="L13" s="30" t="n"/>
      <c r="M13" s="15" t="n"/>
    </row>
    <row r="14" ht="16.5" customHeight="1">
      <c r="A14" s="15" t="n"/>
      <c r="B14" s="17" t="n"/>
      <c r="C14" s="17" t="n"/>
      <c r="D14" s="17" t="n"/>
      <c r="E14" s="17" t="n"/>
      <c r="F14" s="17" t="n"/>
      <c r="G14" s="17" t="n"/>
      <c r="H14" s="17" t="n"/>
      <c r="I14" s="18">
        <f>I8*'Pay Rates'!B14</f>
        <v/>
      </c>
      <c r="J14" s="17" t="n"/>
      <c r="K14" s="17" t="n"/>
      <c r="L14" s="30" t="n"/>
      <c r="M14" s="17" t="n"/>
    </row>
    <row r="15" ht="16.5" customHeight="1">
      <c r="A15" s="44">
        <f>A4*'Pay Rates'!B3</f>
        <v/>
      </c>
      <c r="B15" s="44">
        <f>B4*'Pay Rates'!B4</f>
        <v/>
      </c>
      <c r="C15" s="44">
        <f>SUM(C4:C5)</f>
        <v/>
      </c>
      <c r="D15" s="44">
        <f>SUM(D4:D5)</f>
        <v/>
      </c>
      <c r="E15" s="44">
        <f>SUM(E4:E6)</f>
        <v/>
      </c>
      <c r="F15" s="44">
        <f>SUM(F4)</f>
        <v/>
      </c>
      <c r="G15" s="44">
        <f>SUM(G4:G6)</f>
        <v/>
      </c>
      <c r="H15" s="44">
        <f>SUM(H4)</f>
        <v/>
      </c>
      <c r="I15" s="44">
        <f>SUM(I10:I14)</f>
        <v/>
      </c>
      <c r="J15" s="44">
        <f>SUM(J4:J10)</f>
        <v/>
      </c>
      <c r="K15" s="44">
        <f>SUM(K4)</f>
        <v/>
      </c>
      <c r="L15" s="44">
        <f>SUM(L4:L14)</f>
        <v/>
      </c>
      <c r="M15" s="44">
        <f>SUM(M4)</f>
        <v/>
      </c>
    </row>
    <row r="16" ht="16.5" customHeight="1">
      <c r="A16" s="19" t="inlineStr">
        <is>
          <t>Total Pay</t>
        </is>
      </c>
      <c r="B16" s="45">
        <f>SUM(A15:M15)</f>
        <v/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1" t="n"/>
    </row>
    <row r="17" ht="16.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 ht="16.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 ht="16.5" customHeight="1">
      <c r="A19" s="11" t="inlineStr">
        <is>
          <t>Name:</t>
        </is>
      </c>
      <c r="B19" s="11" t="inlineStr">
        <is>
          <t>New Employee4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 ht="16.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 ht="32" customHeight="1">
      <c r="A21" s="5" t="inlineStr">
        <is>
          <t>Batt&gt;10ft</t>
        </is>
      </c>
      <c r="B21" s="5" t="inlineStr">
        <is>
          <t>Batt&lt;10ft</t>
        </is>
      </c>
      <c r="C21" s="5" t="inlineStr">
        <is>
          <t>Soffit</t>
        </is>
      </c>
      <c r="D21" s="5" t="inlineStr">
        <is>
          <t>Caulk&amp;Foam</t>
        </is>
      </c>
      <c r="E21" s="5" t="inlineStr">
        <is>
          <t>Bonus</t>
        </is>
      </c>
      <c r="F21" s="5" t="inlineStr">
        <is>
          <t>Cellulose</t>
        </is>
      </c>
      <c r="G21" s="5" t="inlineStr">
        <is>
          <t xml:space="preserve">Other Pay </t>
        </is>
      </c>
      <c r="H21" s="5" t="inlineStr">
        <is>
          <t>BIBS</t>
        </is>
      </c>
      <c r="I21" s="5" t="inlineStr">
        <is>
          <t>Attic</t>
        </is>
      </c>
      <c r="J21" s="5" t="inlineStr">
        <is>
          <t>Spray Foam</t>
        </is>
      </c>
      <c r="K21" s="5" t="inlineStr">
        <is>
          <t>Vacation</t>
        </is>
      </c>
      <c r="L21" s="5" t="inlineStr">
        <is>
          <t>Shop Pay</t>
        </is>
      </c>
      <c r="M21" s="5" t="inlineStr">
        <is>
          <t>Holiday</t>
        </is>
      </c>
    </row>
    <row r="22" ht="16.5" customHeight="1">
      <c r="A22" s="12">
        <f>Emp12Record!B3</f>
        <v/>
      </c>
      <c r="B22" s="13">
        <f>Emp12Record!C3</f>
        <v/>
      </c>
      <c r="C22" s="12">
        <f>Emp12Record!D3</f>
        <v/>
      </c>
      <c r="D22" s="13">
        <f>Emp12Record!E3</f>
        <v/>
      </c>
      <c r="E22" s="12">
        <f>Emp12Record!F3</f>
        <v/>
      </c>
      <c r="F22" s="13">
        <f>Emp12Record!G3</f>
        <v/>
      </c>
      <c r="G22" s="12">
        <f>Emp12Record!H3</f>
        <v/>
      </c>
      <c r="H22" s="12">
        <f>Emp12Record!I3</f>
        <v/>
      </c>
      <c r="I22" s="12">
        <f>Emp12Record!J3</f>
        <v/>
      </c>
      <c r="J22" s="12">
        <f>Emp12Record!S3</f>
        <v/>
      </c>
      <c r="K22" s="13">
        <f>Emp12Record!AB3</f>
        <v/>
      </c>
      <c r="L22" s="39">
        <f>Emp12Record!AC3</f>
        <v/>
      </c>
      <c r="M22" s="38">
        <f>'Payroll Summary'!E15</f>
        <v/>
      </c>
    </row>
    <row r="23" ht="16.5" customHeight="1">
      <c r="A23" s="14" t="n"/>
      <c r="B23" s="14" t="n"/>
      <c r="C23" s="12">
        <f>Emp12Record!O3</f>
        <v/>
      </c>
      <c r="D23" s="13">
        <f>Emp12Record!R3</f>
        <v/>
      </c>
      <c r="E23" s="13">
        <f>Emp12Record!P3</f>
        <v/>
      </c>
      <c r="F23" s="14" t="n"/>
      <c r="G23" s="12">
        <f>Emp12Record!Q3</f>
        <v/>
      </c>
      <c r="H23" s="14" t="n"/>
      <c r="I23" s="12">
        <f>Emp12Record!K3</f>
        <v/>
      </c>
      <c r="J23" s="13">
        <f>Emp12Record!T3</f>
        <v/>
      </c>
      <c r="K23" s="14" t="n"/>
      <c r="L23" s="30" t="n"/>
      <c r="M23" s="14" t="n"/>
    </row>
    <row r="24" ht="16.5" customHeight="1">
      <c r="A24" s="15" t="n"/>
      <c r="B24" s="15" t="n"/>
      <c r="C24" s="14" t="n"/>
      <c r="D24" s="14" t="n"/>
      <c r="E24" s="12">
        <f>Emp12Record!Z3</f>
        <v/>
      </c>
      <c r="F24" s="15" t="n"/>
      <c r="G24" s="12">
        <f>Emp12Record!AA3</f>
        <v/>
      </c>
      <c r="H24" s="15" t="n"/>
      <c r="I24" s="12">
        <f>Emp12Record!L3</f>
        <v/>
      </c>
      <c r="J24" s="13">
        <f>Emp12Record!U3</f>
        <v/>
      </c>
      <c r="K24" s="15" t="n"/>
      <c r="L24" s="30" t="n"/>
      <c r="M24" s="15" t="n"/>
    </row>
    <row r="25" ht="16.5" customHeight="1">
      <c r="A25" s="15" t="n"/>
      <c r="B25" s="15" t="n"/>
      <c r="C25" s="15" t="n"/>
      <c r="D25" s="15" t="n"/>
      <c r="E25" s="14" t="n"/>
      <c r="F25" s="15" t="n"/>
      <c r="G25" s="14" t="n"/>
      <c r="H25" s="15" t="n"/>
      <c r="I25" s="12">
        <f>Emp12Record!M3</f>
        <v/>
      </c>
      <c r="J25" s="13">
        <f>Emp12Record!V3</f>
        <v/>
      </c>
      <c r="K25" s="15" t="n"/>
      <c r="L25" s="30" t="n"/>
      <c r="M25" s="15" t="n"/>
    </row>
    <row r="26" ht="16.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2">
        <f>Emp12Record!N3</f>
        <v/>
      </c>
      <c r="J26" s="13">
        <f>Emp12Record!W3</f>
        <v/>
      </c>
      <c r="K26" s="15" t="n"/>
      <c r="L26" s="30" t="n"/>
      <c r="M26" s="15" t="n"/>
    </row>
    <row r="27" ht="16.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6" t="n"/>
      <c r="J27" s="39">
        <f>Emp12Record!X3</f>
        <v/>
      </c>
      <c r="K27" s="15" t="n"/>
      <c r="L27" s="30" t="n"/>
      <c r="M27" s="15" t="n"/>
    </row>
    <row r="28" ht="16.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3">
        <f>I22*'Pay Rates'!B10</f>
        <v/>
      </c>
      <c r="J28" s="39">
        <f>Emp12Record!Y3</f>
        <v/>
      </c>
      <c r="K28" s="15" t="n"/>
      <c r="L28" s="30" t="n"/>
      <c r="M28" s="15" t="n"/>
    </row>
    <row r="29" ht="16.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3">
        <f>I23*'Pay Rates'!B11</f>
        <v/>
      </c>
      <c r="J29" s="15" t="n"/>
      <c r="K29" s="15" t="n"/>
      <c r="L29" s="30" t="n"/>
      <c r="M29" s="15" t="n"/>
    </row>
    <row r="30" ht="16.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3">
        <f>I24*'Pay Rates'!B12</f>
        <v/>
      </c>
      <c r="J30" s="15" t="n"/>
      <c r="K30" s="15" t="n"/>
      <c r="L30" s="30" t="n"/>
      <c r="M30" s="15" t="n"/>
    </row>
    <row r="31" ht="16.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3">
        <f>I25*'Pay Rates'!B13</f>
        <v/>
      </c>
      <c r="J31" s="15" t="n"/>
      <c r="K31" s="15" t="n"/>
      <c r="L31" s="30" t="n"/>
      <c r="M31" s="15" t="n"/>
    </row>
    <row r="32" ht="16.5" customHeight="1">
      <c r="A32" s="15" t="n"/>
      <c r="B32" s="17" t="n"/>
      <c r="C32" s="17" t="n"/>
      <c r="D32" s="17" t="n"/>
      <c r="E32" s="17" t="n"/>
      <c r="F32" s="17" t="n"/>
      <c r="G32" s="17" t="n"/>
      <c r="H32" s="17" t="n"/>
      <c r="I32" s="18">
        <f>I26*'Pay Rates'!B14</f>
        <v/>
      </c>
      <c r="J32" s="17" t="n"/>
      <c r="K32" s="17" t="n"/>
      <c r="L32" s="30" t="n"/>
      <c r="M32" s="17" t="n"/>
    </row>
    <row r="33" ht="16.5" customHeight="1">
      <c r="A33" s="44">
        <f>A22*'Pay Rates'!B3</f>
        <v/>
      </c>
      <c r="B33" s="44">
        <f>B22*'Pay Rates'!B4</f>
        <v/>
      </c>
      <c r="C33" s="44">
        <f>SUM(C22:C23)</f>
        <v/>
      </c>
      <c r="D33" s="44">
        <f>SUM(D22:D23)</f>
        <v/>
      </c>
      <c r="E33" s="44">
        <f>SUM(E22:E24)</f>
        <v/>
      </c>
      <c r="F33" s="44">
        <f>SUM(F22)</f>
        <v/>
      </c>
      <c r="G33" s="44">
        <f>SUM(G22:G24)</f>
        <v/>
      </c>
      <c r="H33" s="44">
        <f>SUM(H22)</f>
        <v/>
      </c>
      <c r="I33" s="44">
        <f>SUM(I28:I32)</f>
        <v/>
      </c>
      <c r="J33" s="44">
        <f>SUM(J22:J28)</f>
        <v/>
      </c>
      <c r="K33" s="44">
        <f>SUM(K22)</f>
        <v/>
      </c>
      <c r="L33" s="44">
        <f>SUM(L22:L32)</f>
        <v/>
      </c>
      <c r="M33" s="44">
        <f>SUM(M22)</f>
        <v/>
      </c>
    </row>
    <row r="34" ht="16.5" customHeight="1">
      <c r="A34" s="19" t="inlineStr">
        <is>
          <t>Total Pay</t>
        </is>
      </c>
      <c r="B34" s="45">
        <f>SUM(A33:M33)</f>
        <v/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1" t="n"/>
    </row>
  </sheetData>
  <pageMargins left="0.7" right="0.7" top="0.75" bottom="0.75" header="0.3" footer="0.3"/>
  <pageSetup orientation="landscape" scale="8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topLeftCell="A17" workbookViewId="0">
      <selection activeCell="M22" sqref="M22"/>
    </sheetView>
  </sheetViews>
  <sheetFormatPr baseColWidth="8" defaultRowHeight="14.5"/>
  <sheetData>
    <row r="1" ht="16.5" customHeight="1">
      <c r="A1" s="11" t="inlineStr">
        <is>
          <t>Name:</t>
        </is>
      </c>
      <c r="B1" s="11" t="inlineStr">
        <is>
          <t>New Employee5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</row>
    <row r="2" ht="16.5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 ht="32" customHeight="1">
      <c r="A3" s="5" t="inlineStr">
        <is>
          <t>Batt&gt;10ft</t>
        </is>
      </c>
      <c r="B3" s="5" t="inlineStr">
        <is>
          <t>Batt&lt;10ft</t>
        </is>
      </c>
      <c r="C3" s="5" t="inlineStr">
        <is>
          <t>Soffit</t>
        </is>
      </c>
      <c r="D3" s="5" t="inlineStr">
        <is>
          <t>Caulk&amp;Foam</t>
        </is>
      </c>
      <c r="E3" s="5" t="inlineStr">
        <is>
          <t>Bonus</t>
        </is>
      </c>
      <c r="F3" s="5" t="inlineStr">
        <is>
          <t>Cellulose</t>
        </is>
      </c>
      <c r="G3" s="5" t="inlineStr">
        <is>
          <t xml:space="preserve">Other Pay </t>
        </is>
      </c>
      <c r="H3" s="5" t="inlineStr">
        <is>
          <t>BIBS</t>
        </is>
      </c>
      <c r="I3" s="5" t="inlineStr">
        <is>
          <t>Attic</t>
        </is>
      </c>
      <c r="J3" s="5" t="inlineStr">
        <is>
          <t>Spray Foam</t>
        </is>
      </c>
      <c r="K3" s="5" t="inlineStr">
        <is>
          <t>Vacation</t>
        </is>
      </c>
      <c r="L3" s="5" t="inlineStr">
        <is>
          <t>Shop Pay</t>
        </is>
      </c>
      <c r="M3" s="5" t="inlineStr">
        <is>
          <t>Holiday</t>
        </is>
      </c>
    </row>
    <row r="4" ht="16.5" customHeight="1">
      <c r="A4" s="12">
        <f>Emp13Record!B3</f>
        <v/>
      </c>
      <c r="B4" s="13">
        <f>Emp13Record!C3</f>
        <v/>
      </c>
      <c r="C4" s="12">
        <f>Emp13Record!D3</f>
        <v/>
      </c>
      <c r="D4" s="13">
        <f>Emp13Record!E3</f>
        <v/>
      </c>
      <c r="E4" s="12">
        <f>Emp13Record!F3</f>
        <v/>
      </c>
      <c r="F4" s="13">
        <f>Emp13Record!G3</f>
        <v/>
      </c>
      <c r="G4" s="12">
        <f>Emp13Record!H3</f>
        <v/>
      </c>
      <c r="H4" s="12">
        <f>Emp13Record!I3</f>
        <v/>
      </c>
      <c r="I4" s="12">
        <f>Emp13Record!J3</f>
        <v/>
      </c>
      <c r="J4" s="12">
        <f>Emp13Record!S3</f>
        <v/>
      </c>
      <c r="K4" s="13">
        <f>Emp13Record!AB3</f>
        <v/>
      </c>
      <c r="L4" s="39">
        <f>Emp13Record!AC3</f>
        <v/>
      </c>
      <c r="M4" s="38">
        <f>'Payroll Summary'!E16</f>
        <v/>
      </c>
    </row>
    <row r="5" ht="16.5" customHeight="1">
      <c r="A5" s="14" t="n"/>
      <c r="B5" s="14" t="n"/>
      <c r="C5" s="12">
        <f>Emp13Record!O3</f>
        <v/>
      </c>
      <c r="D5" s="13">
        <f>Emp13Record!R3</f>
        <v/>
      </c>
      <c r="E5" s="13">
        <f>Emp13Record!P3</f>
        <v/>
      </c>
      <c r="F5" s="14" t="n"/>
      <c r="G5" s="12">
        <f>Emp13Record!Q3</f>
        <v/>
      </c>
      <c r="H5" s="14" t="n"/>
      <c r="I5" s="12">
        <f>Emp13Record!K3</f>
        <v/>
      </c>
      <c r="J5" s="13">
        <f>Emp13Record!T3</f>
        <v/>
      </c>
      <c r="K5" s="14" t="n"/>
      <c r="L5" s="30" t="n"/>
      <c r="M5" s="14" t="n"/>
    </row>
    <row r="6" ht="16.5" customHeight="1">
      <c r="A6" s="15" t="n"/>
      <c r="B6" s="15" t="n"/>
      <c r="C6" s="14" t="n"/>
      <c r="D6" s="14" t="n"/>
      <c r="E6" s="12">
        <f>Emp13Record!Z3</f>
        <v/>
      </c>
      <c r="F6" s="15" t="n"/>
      <c r="G6" s="12">
        <f>Emp13Record!AA3</f>
        <v/>
      </c>
      <c r="H6" s="15" t="n"/>
      <c r="I6" s="12">
        <f>Emp13Record!L3</f>
        <v/>
      </c>
      <c r="J6" s="13">
        <f>Emp13Record!U3</f>
        <v/>
      </c>
      <c r="K6" s="15" t="n"/>
      <c r="L6" s="30" t="n"/>
      <c r="M6" s="15" t="n"/>
    </row>
    <row r="7" ht="16.5" customHeight="1">
      <c r="A7" s="15" t="n"/>
      <c r="B7" s="15" t="n"/>
      <c r="C7" s="15" t="n"/>
      <c r="D7" s="15" t="n"/>
      <c r="E7" s="14" t="n"/>
      <c r="F7" s="15" t="n"/>
      <c r="G7" s="14" t="n"/>
      <c r="H7" s="15" t="n"/>
      <c r="I7" s="12">
        <f>Emp13Record!M3</f>
        <v/>
      </c>
      <c r="J7" s="13">
        <f>Emp13Record!V3</f>
        <v/>
      </c>
      <c r="K7" s="15" t="n"/>
      <c r="L7" s="30" t="n"/>
      <c r="M7" s="15" t="n"/>
    </row>
    <row r="8" ht="16.5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2">
        <f>Emp13Record!N3</f>
        <v/>
      </c>
      <c r="J8" s="13">
        <f>Emp13Record!W3</f>
        <v/>
      </c>
      <c r="K8" s="15" t="n"/>
      <c r="L8" s="30" t="n"/>
      <c r="M8" s="15" t="n"/>
    </row>
    <row r="9" ht="16.5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6" t="n"/>
      <c r="J9" s="39">
        <f>Emp13Record!X3</f>
        <v/>
      </c>
      <c r="K9" s="15" t="n"/>
      <c r="L9" s="30" t="n"/>
      <c r="M9" s="15" t="n"/>
    </row>
    <row r="10" ht="16.5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3">
        <f>I4*'Pay Rates'!B10</f>
        <v/>
      </c>
      <c r="J10" s="39">
        <f>Emp13Record!Y3</f>
        <v/>
      </c>
      <c r="K10" s="15" t="n"/>
      <c r="L10" s="30" t="n"/>
      <c r="M10" s="15" t="n"/>
    </row>
    <row r="11" ht="16.5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3">
        <f>I5*'Pay Rates'!B11</f>
        <v/>
      </c>
      <c r="J11" s="15" t="n"/>
      <c r="K11" s="15" t="n"/>
      <c r="L11" s="30" t="n"/>
      <c r="M11" s="15" t="n"/>
    </row>
    <row r="12" ht="16.5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3">
        <f>I6*'Pay Rates'!B12</f>
        <v/>
      </c>
      <c r="J12" s="15" t="n"/>
      <c r="K12" s="15" t="n"/>
      <c r="L12" s="30" t="n"/>
      <c r="M12" s="15" t="n"/>
    </row>
    <row r="13" ht="16.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3">
        <f>I7*'Pay Rates'!B13</f>
        <v/>
      </c>
      <c r="J13" s="15" t="n"/>
      <c r="K13" s="15" t="n"/>
      <c r="L13" s="30" t="n"/>
      <c r="M13" s="15" t="n"/>
    </row>
    <row r="14" ht="16.5" customHeight="1">
      <c r="A14" s="15" t="n"/>
      <c r="B14" s="17" t="n"/>
      <c r="C14" s="17" t="n"/>
      <c r="D14" s="17" t="n"/>
      <c r="E14" s="17" t="n"/>
      <c r="F14" s="17" t="n"/>
      <c r="G14" s="17" t="n"/>
      <c r="H14" s="17" t="n"/>
      <c r="I14" s="18">
        <f>I8*'Pay Rates'!B14</f>
        <v/>
      </c>
      <c r="J14" s="17" t="n"/>
      <c r="K14" s="17" t="n"/>
      <c r="L14" s="30" t="n"/>
      <c r="M14" s="17" t="n"/>
    </row>
    <row r="15" ht="16.5" customHeight="1">
      <c r="A15" s="44">
        <f>A4*'Pay Rates'!B3</f>
        <v/>
      </c>
      <c r="B15" s="44">
        <f>B4*'Pay Rates'!B4</f>
        <v/>
      </c>
      <c r="C15" s="44">
        <f>SUM(C4:C5)</f>
        <v/>
      </c>
      <c r="D15" s="44">
        <f>SUM(D4:D5)</f>
        <v/>
      </c>
      <c r="E15" s="44">
        <f>SUM(E4:E6)</f>
        <v/>
      </c>
      <c r="F15" s="44">
        <f>SUM(F4)</f>
        <v/>
      </c>
      <c r="G15" s="44">
        <f>SUM(G4:G6)</f>
        <v/>
      </c>
      <c r="H15" s="44">
        <f>SUM(H4)</f>
        <v/>
      </c>
      <c r="I15" s="44">
        <f>SUM(I10:I14)</f>
        <v/>
      </c>
      <c r="J15" s="44">
        <f>SUM(J4:J10)</f>
        <v/>
      </c>
      <c r="K15" s="44">
        <f>SUM(K4)</f>
        <v/>
      </c>
      <c r="L15" s="44">
        <f>SUM(L4:L14)</f>
        <v/>
      </c>
      <c r="M15" s="44">
        <f>SUM(M4)</f>
        <v/>
      </c>
    </row>
    <row r="16" ht="16.5" customHeight="1">
      <c r="A16" s="19" t="inlineStr">
        <is>
          <t>Total Pay</t>
        </is>
      </c>
      <c r="B16" s="45">
        <f>SUM(A15:M15)</f>
        <v/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1" t="n"/>
    </row>
    <row r="17" ht="16.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 ht="16.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 ht="16.5" customHeight="1">
      <c r="A19" s="11" t="inlineStr">
        <is>
          <t>Name:</t>
        </is>
      </c>
      <c r="B19" s="11" t="inlineStr">
        <is>
          <t>New Employee6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 ht="16.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 ht="32" customHeight="1">
      <c r="A21" s="5" t="inlineStr">
        <is>
          <t>Batt&gt;10ft</t>
        </is>
      </c>
      <c r="B21" s="5" t="inlineStr">
        <is>
          <t>Batt&lt;10ft</t>
        </is>
      </c>
      <c r="C21" s="5" t="inlineStr">
        <is>
          <t>Soffit</t>
        </is>
      </c>
      <c r="D21" s="5" t="inlineStr">
        <is>
          <t>Caulk&amp;Foam</t>
        </is>
      </c>
      <c r="E21" s="5" t="inlineStr">
        <is>
          <t>Bonus</t>
        </is>
      </c>
      <c r="F21" s="5" t="inlineStr">
        <is>
          <t>Cellulose</t>
        </is>
      </c>
      <c r="G21" s="5" t="inlineStr">
        <is>
          <t xml:space="preserve">Other Pay </t>
        </is>
      </c>
      <c r="H21" s="5" t="inlineStr">
        <is>
          <t>BIBS</t>
        </is>
      </c>
      <c r="I21" s="5" t="inlineStr">
        <is>
          <t>Attic</t>
        </is>
      </c>
      <c r="J21" s="5" t="inlineStr">
        <is>
          <t>Spray Foam</t>
        </is>
      </c>
      <c r="K21" s="5" t="inlineStr">
        <is>
          <t>Vacation</t>
        </is>
      </c>
      <c r="L21" s="5" t="inlineStr">
        <is>
          <t>Shop Pay</t>
        </is>
      </c>
      <c r="M21" s="5" t="inlineStr">
        <is>
          <t>Holiday</t>
        </is>
      </c>
    </row>
    <row r="22" ht="16.5" customHeight="1">
      <c r="A22" s="12">
        <f>Emp14Record!B3</f>
        <v/>
      </c>
      <c r="B22" s="13">
        <f>Emp14Record!C3</f>
        <v/>
      </c>
      <c r="C22" s="12">
        <f>Emp14Record!D3</f>
        <v/>
      </c>
      <c r="D22" s="13">
        <f>Emp14Record!E3</f>
        <v/>
      </c>
      <c r="E22" s="12">
        <f>Emp14Record!F3</f>
        <v/>
      </c>
      <c r="F22" s="13">
        <f>Emp14Record!G3</f>
        <v/>
      </c>
      <c r="G22" s="12">
        <f>Emp14Record!H3</f>
        <v/>
      </c>
      <c r="H22" s="12">
        <f>Emp14Record!I3</f>
        <v/>
      </c>
      <c r="I22" s="12">
        <f>Emp14Record!J3</f>
        <v/>
      </c>
      <c r="J22" s="12">
        <f>Emp14Record!S3</f>
        <v/>
      </c>
      <c r="K22" s="13">
        <f>Emp14Record!AB3</f>
        <v/>
      </c>
      <c r="L22" s="39">
        <f>Emp14Record!AC3</f>
        <v/>
      </c>
      <c r="M22" s="38">
        <f>'Payroll Summary'!E17</f>
        <v/>
      </c>
    </row>
    <row r="23" ht="16.5" customHeight="1">
      <c r="A23" s="14" t="n"/>
      <c r="B23" s="14" t="n"/>
      <c r="C23" s="12">
        <f>Emp14Record!O3</f>
        <v/>
      </c>
      <c r="D23" s="13">
        <f>Emp14Record!R3</f>
        <v/>
      </c>
      <c r="E23" s="13">
        <f>Emp14Record!P3</f>
        <v/>
      </c>
      <c r="F23" s="14" t="n"/>
      <c r="G23" s="12">
        <f>Emp14Record!Q3</f>
        <v/>
      </c>
      <c r="H23" s="14" t="n"/>
      <c r="I23" s="12">
        <f>Emp14Record!K3</f>
        <v/>
      </c>
      <c r="J23" s="13">
        <f>Emp14Record!T3</f>
        <v/>
      </c>
      <c r="K23" s="14" t="n"/>
      <c r="L23" s="30" t="n"/>
      <c r="M23" s="14" t="n"/>
    </row>
    <row r="24" ht="16.5" customHeight="1">
      <c r="A24" s="15" t="n"/>
      <c r="B24" s="15" t="n"/>
      <c r="C24" s="14" t="n"/>
      <c r="D24" s="14" t="n"/>
      <c r="E24" s="12">
        <f>Emp14Record!Z3</f>
        <v/>
      </c>
      <c r="F24" s="15" t="n"/>
      <c r="G24" s="12">
        <f>Emp14Record!AA3</f>
        <v/>
      </c>
      <c r="H24" s="15" t="n"/>
      <c r="I24" s="12">
        <f>Emp14Record!L3</f>
        <v/>
      </c>
      <c r="J24" s="13">
        <f>Emp14Record!U3</f>
        <v/>
      </c>
      <c r="K24" s="15" t="n"/>
      <c r="L24" s="30" t="n"/>
      <c r="M24" s="15" t="n"/>
    </row>
    <row r="25" ht="16.5" customHeight="1">
      <c r="A25" s="15" t="n"/>
      <c r="B25" s="15" t="n"/>
      <c r="C25" s="15" t="n"/>
      <c r="D25" s="15" t="n"/>
      <c r="E25" s="14" t="n"/>
      <c r="F25" s="15" t="n"/>
      <c r="G25" s="14" t="n"/>
      <c r="H25" s="15" t="n"/>
      <c r="I25" s="12">
        <f>Emp14Record!M3</f>
        <v/>
      </c>
      <c r="J25" s="13">
        <f>Emp14Record!V3</f>
        <v/>
      </c>
      <c r="K25" s="15" t="n"/>
      <c r="L25" s="30" t="n"/>
      <c r="M25" s="15" t="n"/>
    </row>
    <row r="26" ht="16.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2">
        <f>Emp14Record!N3</f>
        <v/>
      </c>
      <c r="J26" s="13">
        <f>Emp14Record!W3</f>
        <v/>
      </c>
      <c r="K26" s="15" t="n"/>
      <c r="L26" s="30" t="n"/>
      <c r="M26" s="15" t="n"/>
    </row>
    <row r="27" ht="16.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6" t="n"/>
      <c r="J27" s="39">
        <f>Emp14Record!X3</f>
        <v/>
      </c>
      <c r="K27" s="15" t="n"/>
      <c r="L27" s="30" t="n"/>
      <c r="M27" s="15" t="n"/>
    </row>
    <row r="28" ht="16.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3">
        <f>I22*'Pay Rates'!B10</f>
        <v/>
      </c>
      <c r="J28" s="39">
        <f>Emp14Record!Y3</f>
        <v/>
      </c>
      <c r="K28" s="15" t="n"/>
      <c r="L28" s="30" t="n"/>
      <c r="M28" s="15" t="n"/>
    </row>
    <row r="29" ht="16.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3">
        <f>I23*'Pay Rates'!B11</f>
        <v/>
      </c>
      <c r="J29" s="15" t="n"/>
      <c r="K29" s="15" t="n"/>
      <c r="L29" s="30" t="n"/>
      <c r="M29" s="15" t="n"/>
    </row>
    <row r="30" ht="16.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3">
        <f>I24*'Pay Rates'!B12</f>
        <v/>
      </c>
      <c r="J30" s="15" t="n"/>
      <c r="K30" s="15" t="n"/>
      <c r="L30" s="30" t="n"/>
      <c r="M30" s="15" t="n"/>
    </row>
    <row r="31" ht="16.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3">
        <f>I25*'Pay Rates'!B13</f>
        <v/>
      </c>
      <c r="J31" s="15" t="n"/>
      <c r="K31" s="15" t="n"/>
      <c r="L31" s="30" t="n"/>
      <c r="M31" s="15" t="n"/>
    </row>
    <row r="32" ht="16.5" customHeight="1">
      <c r="A32" s="15" t="n"/>
      <c r="B32" s="17" t="n"/>
      <c r="C32" s="17" t="n"/>
      <c r="D32" s="17" t="n"/>
      <c r="E32" s="17" t="n"/>
      <c r="F32" s="17" t="n"/>
      <c r="G32" s="17" t="n"/>
      <c r="H32" s="17" t="n"/>
      <c r="I32" s="18">
        <f>I26*'Pay Rates'!B14</f>
        <v/>
      </c>
      <c r="J32" s="17" t="n"/>
      <c r="K32" s="17" t="n"/>
      <c r="L32" s="30" t="n"/>
      <c r="M32" s="17" t="n"/>
    </row>
    <row r="33" ht="16.5" customHeight="1">
      <c r="A33" s="44">
        <f>A22*'Pay Rates'!B3</f>
        <v/>
      </c>
      <c r="B33" s="44">
        <f>B22*'Pay Rates'!B4</f>
        <v/>
      </c>
      <c r="C33" s="44">
        <f>SUM(C22:C23)</f>
        <v/>
      </c>
      <c r="D33" s="44">
        <f>SUM(D22:D23)</f>
        <v/>
      </c>
      <c r="E33" s="44">
        <f>SUM(E22:E24)</f>
        <v/>
      </c>
      <c r="F33" s="44">
        <f>SUM(F22)</f>
        <v/>
      </c>
      <c r="G33" s="44">
        <f>SUM(G22:G24)</f>
        <v/>
      </c>
      <c r="H33" s="44">
        <f>SUM(H22)</f>
        <v/>
      </c>
      <c r="I33" s="44">
        <f>SUM(I28:I32)</f>
        <v/>
      </c>
      <c r="J33" s="44">
        <f>SUM(J22:J28)</f>
        <v/>
      </c>
      <c r="K33" s="44">
        <f>SUM(K22)</f>
        <v/>
      </c>
      <c r="L33" s="44">
        <f>SUM(L22:L32)</f>
        <v/>
      </c>
      <c r="M33" s="44">
        <f>SUM(M22)</f>
        <v/>
      </c>
    </row>
    <row r="34" ht="16.5" customHeight="1">
      <c r="A34" s="19" t="inlineStr">
        <is>
          <t>Total Pay</t>
        </is>
      </c>
      <c r="B34" s="45">
        <f>SUM(A33:M33)</f>
        <v/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1" t="n"/>
    </row>
  </sheetData>
  <pageMargins left="0.7" right="0.7" top="0.75" bottom="0.75" header="0.3" footer="0.3"/>
  <pageSetup orientation="landscape" scale="83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workbookViewId="0">
      <selection activeCell="B34" sqref="B34"/>
    </sheetView>
  </sheetViews>
  <sheetFormatPr baseColWidth="8" defaultRowHeight="14.5"/>
  <sheetData>
    <row r="1" ht="16.5" customHeight="1">
      <c r="A1" s="11" t="inlineStr">
        <is>
          <t>Name:</t>
        </is>
      </c>
      <c r="B1" s="11" t="inlineStr">
        <is>
          <t>New Employee7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</row>
    <row r="2" ht="16.5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 ht="32" customHeight="1">
      <c r="A3" s="5" t="inlineStr">
        <is>
          <t>Batt&gt;10ft</t>
        </is>
      </c>
      <c r="B3" s="5" t="inlineStr">
        <is>
          <t>Batt&lt;10ft</t>
        </is>
      </c>
      <c r="C3" s="5" t="inlineStr">
        <is>
          <t>Soffit</t>
        </is>
      </c>
      <c r="D3" s="5" t="inlineStr">
        <is>
          <t>Caulk&amp;Foam</t>
        </is>
      </c>
      <c r="E3" s="5" t="inlineStr">
        <is>
          <t>Bonus</t>
        </is>
      </c>
      <c r="F3" s="5" t="inlineStr">
        <is>
          <t>Cellulose</t>
        </is>
      </c>
      <c r="G3" s="5" t="inlineStr">
        <is>
          <t xml:space="preserve">Other Pay </t>
        </is>
      </c>
      <c r="H3" s="5" t="inlineStr">
        <is>
          <t>BIBS</t>
        </is>
      </c>
      <c r="I3" s="5" t="inlineStr">
        <is>
          <t>Attic</t>
        </is>
      </c>
      <c r="J3" s="5" t="inlineStr">
        <is>
          <t>Spray Foam</t>
        </is>
      </c>
      <c r="K3" s="5" t="inlineStr">
        <is>
          <t>Vacation</t>
        </is>
      </c>
      <c r="L3" s="5" t="inlineStr">
        <is>
          <t>Shop Pay</t>
        </is>
      </c>
      <c r="M3" s="5" t="inlineStr">
        <is>
          <t>Holiday</t>
        </is>
      </c>
    </row>
    <row r="4" ht="16.5" customHeight="1">
      <c r="A4" s="12">
        <f>Emp15Record!B3</f>
        <v/>
      </c>
      <c r="B4" s="13">
        <f>Emp15Record!C3</f>
        <v/>
      </c>
      <c r="C4" s="12">
        <f>Emp15Record!D3</f>
        <v/>
      </c>
      <c r="D4" s="13">
        <f>Emp15Record!E3</f>
        <v/>
      </c>
      <c r="E4" s="12">
        <f>Emp15Record!F3</f>
        <v/>
      </c>
      <c r="F4" s="13">
        <f>Emp15Record!G3</f>
        <v/>
      </c>
      <c r="G4" s="12">
        <f>Emp15Record!H3</f>
        <v/>
      </c>
      <c r="H4" s="12">
        <f>Emp15Record!I3</f>
        <v/>
      </c>
      <c r="I4" s="12">
        <f>Emp15Record!J3</f>
        <v/>
      </c>
      <c r="J4" s="12">
        <f>Emp15Record!S3</f>
        <v/>
      </c>
      <c r="K4" s="13">
        <f>Emp15Record!AB3</f>
        <v/>
      </c>
      <c r="L4" s="39">
        <f>Emp15Record!AC3</f>
        <v/>
      </c>
      <c r="M4" s="38">
        <f>'Payroll Summary'!E18</f>
        <v/>
      </c>
    </row>
    <row r="5" ht="16.5" customHeight="1">
      <c r="A5" s="14" t="n"/>
      <c r="B5" s="14" t="n"/>
      <c r="C5" s="12">
        <f>Emp15Record!O3</f>
        <v/>
      </c>
      <c r="D5" s="13">
        <f>Emp15Record!R3</f>
        <v/>
      </c>
      <c r="E5" s="13">
        <f>Emp15Record!P3</f>
        <v/>
      </c>
      <c r="F5" s="14" t="n"/>
      <c r="G5" s="12">
        <f>Emp15Record!Q3</f>
        <v/>
      </c>
      <c r="H5" s="14" t="n"/>
      <c r="I5" s="12">
        <f>Emp15Record!K3</f>
        <v/>
      </c>
      <c r="J5" s="13">
        <f>Emp15Record!T3</f>
        <v/>
      </c>
      <c r="K5" s="14" t="n"/>
      <c r="L5" s="30" t="n"/>
      <c r="M5" s="14" t="n"/>
    </row>
    <row r="6" ht="16.5" customHeight="1">
      <c r="A6" s="15" t="n"/>
      <c r="B6" s="15" t="n"/>
      <c r="C6" s="14" t="n"/>
      <c r="D6" s="14" t="n"/>
      <c r="E6" s="12">
        <f>Emp15Record!Z3</f>
        <v/>
      </c>
      <c r="F6" s="15" t="n"/>
      <c r="G6" s="12">
        <f>Emp15Record!AA3</f>
        <v/>
      </c>
      <c r="H6" s="15" t="n"/>
      <c r="I6" s="12">
        <f>Emp15Record!L3</f>
        <v/>
      </c>
      <c r="J6" s="13">
        <f>Emp15Record!U3</f>
        <v/>
      </c>
      <c r="K6" s="15" t="n"/>
      <c r="L6" s="30" t="n"/>
      <c r="M6" s="15" t="n"/>
    </row>
    <row r="7" ht="16.5" customHeight="1">
      <c r="A7" s="15" t="n"/>
      <c r="B7" s="15" t="n"/>
      <c r="C7" s="15" t="n"/>
      <c r="D7" s="15" t="n"/>
      <c r="E7" s="14" t="n"/>
      <c r="F7" s="15" t="n"/>
      <c r="G7" s="14" t="n"/>
      <c r="H7" s="15" t="n"/>
      <c r="I7" s="12">
        <f>Emp15Record!M3</f>
        <v/>
      </c>
      <c r="J7" s="13">
        <f>Emp15Record!V3</f>
        <v/>
      </c>
      <c r="K7" s="15" t="n"/>
      <c r="L7" s="30" t="n"/>
      <c r="M7" s="15" t="n"/>
    </row>
    <row r="8" ht="16.5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2">
        <f>Emp15Record!N3</f>
        <v/>
      </c>
      <c r="J8" s="13">
        <f>Emp15Record!W3</f>
        <v/>
      </c>
      <c r="K8" s="15" t="n"/>
      <c r="L8" s="30" t="n"/>
      <c r="M8" s="15" t="n"/>
    </row>
    <row r="9" ht="16.5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6" t="n"/>
      <c r="J9" s="39">
        <f>Emp15Record!X3</f>
        <v/>
      </c>
      <c r="K9" s="15" t="n"/>
      <c r="L9" s="30" t="n"/>
      <c r="M9" s="15" t="n"/>
    </row>
    <row r="10" ht="16.5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3">
        <f>I4*'Pay Rates'!B10</f>
        <v/>
      </c>
      <c r="J10" s="39">
        <f>Emp15Record!Y3</f>
        <v/>
      </c>
      <c r="K10" s="15" t="n"/>
      <c r="L10" s="30" t="n"/>
      <c r="M10" s="15" t="n"/>
    </row>
    <row r="11" ht="16.5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3">
        <f>I5*'Pay Rates'!B11</f>
        <v/>
      </c>
      <c r="J11" s="15" t="n"/>
      <c r="K11" s="15" t="n"/>
      <c r="L11" s="30" t="n"/>
      <c r="M11" s="15" t="n"/>
    </row>
    <row r="12" ht="16.5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3">
        <f>I6*'Pay Rates'!B12</f>
        <v/>
      </c>
      <c r="J12" s="15" t="n"/>
      <c r="K12" s="15" t="n"/>
      <c r="L12" s="30" t="n"/>
      <c r="M12" s="15" t="n"/>
    </row>
    <row r="13" ht="16.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3">
        <f>I7*'Pay Rates'!B13</f>
        <v/>
      </c>
      <c r="J13" s="15" t="n"/>
      <c r="K13" s="15" t="n"/>
      <c r="L13" s="30" t="n"/>
      <c r="M13" s="15" t="n"/>
    </row>
    <row r="14" ht="16.5" customHeight="1">
      <c r="A14" s="15" t="n"/>
      <c r="B14" s="17" t="n"/>
      <c r="C14" s="17" t="n"/>
      <c r="D14" s="17" t="n"/>
      <c r="E14" s="17" t="n"/>
      <c r="F14" s="17" t="n"/>
      <c r="G14" s="17" t="n"/>
      <c r="H14" s="17" t="n"/>
      <c r="I14" s="18">
        <f>I8*'Pay Rates'!B14</f>
        <v/>
      </c>
      <c r="J14" s="17" t="n"/>
      <c r="K14" s="17" t="n"/>
      <c r="L14" s="30" t="n"/>
      <c r="M14" s="17" t="n"/>
    </row>
    <row r="15" ht="16.5" customHeight="1">
      <c r="A15" s="44">
        <f>A4*'Pay Rates'!B3</f>
        <v/>
      </c>
      <c r="B15" s="44">
        <f>B4*'Pay Rates'!B4</f>
        <v/>
      </c>
      <c r="C15" s="44">
        <f>SUM(C4:C5)</f>
        <v/>
      </c>
      <c r="D15" s="44">
        <f>SUM(D4:D5)</f>
        <v/>
      </c>
      <c r="E15" s="44">
        <f>SUM(E4:E6)</f>
        <v/>
      </c>
      <c r="F15" s="44">
        <f>SUM(F4)</f>
        <v/>
      </c>
      <c r="G15" s="44">
        <f>SUM(G4:G6)</f>
        <v/>
      </c>
      <c r="H15" s="44">
        <f>SUM(H4)</f>
        <v/>
      </c>
      <c r="I15" s="44">
        <f>SUM(I10:I14)</f>
        <v/>
      </c>
      <c r="J15" s="44">
        <f>SUM(J4:J10)</f>
        <v/>
      </c>
      <c r="K15" s="44">
        <f>SUM(K4)</f>
        <v/>
      </c>
      <c r="L15" s="44">
        <f>SUM(L4:L14)</f>
        <v/>
      </c>
      <c r="M15" s="44">
        <f>SUM(M4)</f>
        <v/>
      </c>
    </row>
    <row r="16" ht="16.5" customHeight="1">
      <c r="A16" s="19" t="inlineStr">
        <is>
          <t>Total Pay</t>
        </is>
      </c>
      <c r="B16" s="45">
        <f>SUM(A15:M15)</f>
        <v/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1" t="n"/>
    </row>
    <row r="17" ht="16.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 ht="16.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 ht="16.5" customHeight="1">
      <c r="A19" s="11" t="inlineStr">
        <is>
          <t>Name: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 ht="16.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 ht="32" customHeight="1">
      <c r="A21" s="5" t="inlineStr">
        <is>
          <t>Batt&gt;10ft</t>
        </is>
      </c>
      <c r="B21" s="5" t="inlineStr">
        <is>
          <t>Batt&lt;10ft</t>
        </is>
      </c>
      <c r="C21" s="5" t="inlineStr">
        <is>
          <t>Soffit</t>
        </is>
      </c>
      <c r="D21" s="5" t="inlineStr">
        <is>
          <t>Caulk&amp;Foam</t>
        </is>
      </c>
      <c r="E21" s="5" t="inlineStr">
        <is>
          <t>Bonus</t>
        </is>
      </c>
      <c r="F21" s="5" t="inlineStr">
        <is>
          <t>Cellulose</t>
        </is>
      </c>
      <c r="G21" s="5" t="inlineStr">
        <is>
          <t xml:space="preserve">Other Pay </t>
        </is>
      </c>
      <c r="H21" s="5" t="inlineStr">
        <is>
          <t>BIBS</t>
        </is>
      </c>
      <c r="I21" s="5" t="inlineStr">
        <is>
          <t>Attic</t>
        </is>
      </c>
      <c r="J21" s="5" t="inlineStr">
        <is>
          <t>Spray Foam</t>
        </is>
      </c>
      <c r="K21" s="5" t="inlineStr">
        <is>
          <t>Vacation</t>
        </is>
      </c>
      <c r="L21" s="5" t="inlineStr">
        <is>
          <t>Shop Pay</t>
        </is>
      </c>
      <c r="M21" s="5" t="inlineStr">
        <is>
          <t>Holiday</t>
        </is>
      </c>
    </row>
    <row r="22" ht="16.5" customHeight="1">
      <c r="A22" s="12" t="n"/>
      <c r="B22" s="13" t="n"/>
      <c r="C22" s="12" t="n"/>
      <c r="D22" s="13" t="n"/>
      <c r="E22" s="12" t="n"/>
      <c r="F22" s="13" t="n"/>
      <c r="G22" s="12" t="n"/>
      <c r="H22" s="12" t="n"/>
      <c r="I22" s="12" t="n"/>
      <c r="J22" s="12" t="n"/>
      <c r="K22" s="13" t="n"/>
      <c r="L22" s="39" t="n"/>
      <c r="M22" s="38" t="n"/>
    </row>
    <row r="23" ht="16.5" customHeight="1">
      <c r="A23" s="14" t="n"/>
      <c r="B23" s="14" t="n"/>
      <c r="C23" s="12" t="n"/>
      <c r="D23" s="13" t="n"/>
      <c r="E23" s="13" t="n"/>
      <c r="F23" s="14" t="n"/>
      <c r="G23" s="12" t="n"/>
      <c r="H23" s="14" t="n"/>
      <c r="I23" s="12" t="n"/>
      <c r="J23" s="13" t="n"/>
      <c r="K23" s="14" t="n"/>
      <c r="L23" s="30" t="n"/>
      <c r="M23" s="14" t="n"/>
    </row>
    <row r="24" ht="16.5" customHeight="1">
      <c r="A24" s="15" t="n"/>
      <c r="B24" s="15" t="n"/>
      <c r="C24" s="14" t="n"/>
      <c r="D24" s="14" t="n"/>
      <c r="E24" s="12" t="n"/>
      <c r="F24" s="15" t="n"/>
      <c r="G24" s="12" t="n"/>
      <c r="H24" s="15" t="n"/>
      <c r="I24" s="12" t="n"/>
      <c r="J24" s="13" t="n"/>
      <c r="K24" s="15" t="n"/>
      <c r="L24" s="30" t="n"/>
      <c r="M24" s="15" t="n"/>
    </row>
    <row r="25" ht="16.5" customHeight="1">
      <c r="A25" s="15" t="n"/>
      <c r="B25" s="15" t="n"/>
      <c r="C25" s="15" t="n"/>
      <c r="D25" s="15" t="n"/>
      <c r="E25" s="14" t="n"/>
      <c r="F25" s="15" t="n"/>
      <c r="G25" s="14" t="n"/>
      <c r="H25" s="15" t="n"/>
      <c r="I25" s="12" t="n"/>
      <c r="J25" s="13" t="n"/>
      <c r="K25" s="15" t="n"/>
      <c r="L25" s="30" t="n"/>
      <c r="M25" s="15" t="n"/>
    </row>
    <row r="26" ht="16.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2" t="n"/>
      <c r="J26" s="13" t="n"/>
      <c r="K26" s="15" t="n"/>
      <c r="L26" s="30" t="n"/>
      <c r="M26" s="15" t="n"/>
    </row>
    <row r="27" ht="16.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6" t="n"/>
      <c r="J27" s="39" t="n"/>
      <c r="K27" s="15" t="n"/>
      <c r="L27" s="30" t="n"/>
      <c r="M27" s="15" t="n"/>
    </row>
    <row r="28" ht="16.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3" t="n"/>
      <c r="J28" s="39" t="n"/>
      <c r="K28" s="15" t="n"/>
      <c r="L28" s="30" t="n"/>
      <c r="M28" s="15" t="n"/>
    </row>
    <row r="29" ht="16.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3" t="n"/>
      <c r="J29" s="15" t="n"/>
      <c r="K29" s="15" t="n"/>
      <c r="L29" s="30" t="n"/>
      <c r="M29" s="15" t="n"/>
    </row>
    <row r="30" ht="16.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3" t="n"/>
      <c r="J30" s="15" t="n"/>
      <c r="K30" s="15" t="n"/>
      <c r="L30" s="30" t="n"/>
      <c r="M30" s="15" t="n"/>
    </row>
    <row r="31" ht="16.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3" t="n"/>
      <c r="J31" s="15" t="n"/>
      <c r="K31" s="15" t="n"/>
      <c r="L31" s="30" t="n"/>
      <c r="M31" s="15" t="n"/>
    </row>
    <row r="32" ht="16.5" customHeight="1">
      <c r="A32" s="15" t="n"/>
      <c r="B32" s="17" t="n"/>
      <c r="C32" s="17" t="n"/>
      <c r="D32" s="17" t="n"/>
      <c r="E32" s="17" t="n"/>
      <c r="F32" s="17" t="n"/>
      <c r="G32" s="17" t="n"/>
      <c r="H32" s="17" t="n"/>
      <c r="I32" s="18" t="n"/>
      <c r="J32" s="17" t="n"/>
      <c r="K32" s="17" t="n"/>
      <c r="L32" s="30" t="n"/>
      <c r="M32" s="17" t="n"/>
    </row>
    <row r="33" ht="16.5" customHeight="1">
      <c r="A33" s="44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</row>
    <row r="34" ht="16.5" customHeight="1">
      <c r="A34" s="19" t="inlineStr">
        <is>
          <t>Total Pay</t>
        </is>
      </c>
      <c r="B34" s="45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1" t="n"/>
    </row>
  </sheetData>
  <pageMargins left="0.7" right="0.7" top="0.75" bottom="0.75" header="0.3" footer="0.3"/>
  <pageSetup orientation="landscape" scale="8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C6"/>
  <sheetViews>
    <sheetView zoomScaleNormal="70" workbookViewId="0">
      <selection activeCell="A7" sqref="A7"/>
    </sheetView>
  </sheetViews>
  <sheetFormatPr baseColWidth="8" defaultRowHeight="14.5"/>
  <cols>
    <col width="25.81640625" customWidth="1" min="1" max="1"/>
    <col width="13.1796875" customWidth="1" min="2" max="2"/>
    <col width="12.1796875" customWidth="1" min="3" max="3"/>
    <col width="12.54296875" customWidth="1" min="5" max="5"/>
    <col width="11.26953125" customWidth="1" min="6" max="6"/>
    <col width="10.453125" customWidth="1" min="7" max="7"/>
    <col width="11.453125" customWidth="1" min="8" max="8"/>
    <col width="10.453125" customWidth="1" min="9" max="9"/>
    <col width="11.81640625" customWidth="1" min="17" max="17"/>
    <col width="10.54296875" customWidth="1" min="27" max="27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0.5" customHeight="1">
      <c r="A2" s="1" t="n"/>
      <c r="B2" s="5" t="inlineStr">
        <is>
          <t>Batt&gt;10ft</t>
        </is>
      </c>
      <c r="C2" s="5" t="inlineStr">
        <is>
          <t>Batt&lt;10ft</t>
        </is>
      </c>
      <c r="D2" s="5" t="inlineStr">
        <is>
          <t>Soffit</t>
        </is>
      </c>
      <c r="E2" s="5" t="inlineStr">
        <is>
          <t>Caulk&amp;Foam</t>
        </is>
      </c>
      <c r="F2" s="5" t="inlineStr">
        <is>
          <t>Bonus</t>
        </is>
      </c>
      <c r="G2" s="5" t="inlineStr">
        <is>
          <t>Cellulose</t>
        </is>
      </c>
      <c r="H2" s="5" t="inlineStr">
        <is>
          <t xml:space="preserve">Other Pay </t>
        </is>
      </c>
      <c r="I2" s="5" t="inlineStr">
        <is>
          <t>BIBS</t>
        </is>
      </c>
      <c r="J2" s="5" t="inlineStr">
        <is>
          <t>R19</t>
        </is>
      </c>
      <c r="K2" s="5" t="inlineStr">
        <is>
          <t>R30</t>
        </is>
      </c>
      <c r="L2" s="5" t="inlineStr">
        <is>
          <t>R38/R40</t>
        </is>
      </c>
      <c r="M2" s="5" t="inlineStr">
        <is>
          <t>R49/R50</t>
        </is>
      </c>
      <c r="N2" s="5" t="inlineStr">
        <is>
          <t>Cellulose</t>
        </is>
      </c>
      <c r="O2" s="5" t="inlineStr">
        <is>
          <t>Soffit</t>
        </is>
      </c>
      <c r="P2" s="5" t="inlineStr">
        <is>
          <t>Bonus</t>
        </is>
      </c>
      <c r="Q2" s="5" t="inlineStr">
        <is>
          <t xml:space="preserve">Other Pay </t>
        </is>
      </c>
      <c r="R2" s="5" t="inlineStr">
        <is>
          <t>Air Seal</t>
        </is>
      </c>
      <c r="S2" s="5" t="inlineStr">
        <is>
          <t>CC 3/4"</t>
        </is>
      </c>
      <c r="T2" s="5" t="inlineStr">
        <is>
          <t>CC 1"</t>
        </is>
      </c>
      <c r="U2" s="5" t="inlineStr">
        <is>
          <t>CC 2"</t>
        </is>
      </c>
      <c r="V2" s="5" t="inlineStr">
        <is>
          <t>CC 3"</t>
        </is>
      </c>
      <c r="W2" s="5" t="inlineStr">
        <is>
          <t>OC 4"</t>
        </is>
      </c>
      <c r="X2" s="5" t="inlineStr">
        <is>
          <t>OC 6"</t>
        </is>
      </c>
      <c r="Y2" s="5" t="inlineStr">
        <is>
          <t>OC 8"</t>
        </is>
      </c>
      <c r="Z2" s="5" t="inlineStr">
        <is>
          <t>Bonus</t>
        </is>
      </c>
      <c r="AA2" s="6" t="inlineStr">
        <is>
          <t>Other Pay</t>
        </is>
      </c>
      <c r="AB2" s="40" t="inlineStr">
        <is>
          <t>Vacation</t>
        </is>
      </c>
      <c r="AC2" s="5" t="inlineStr">
        <is>
          <t>Shop</t>
        </is>
      </c>
    </row>
    <row r="3" ht="16" customHeight="1">
      <c r="A3" s="9" t="inlineStr">
        <is>
          <t>Totals:</t>
        </is>
      </c>
      <c r="B3" s="4">
        <f>SUM(B7:B50)</f>
        <v/>
      </c>
      <c r="C3" s="4">
        <f>SUM(C7:C50)</f>
        <v/>
      </c>
      <c r="D3" s="4">
        <f>SUM(D7:D50)</f>
        <v/>
      </c>
      <c r="E3" s="4">
        <f>SUM(E7:E50)</f>
        <v/>
      </c>
      <c r="F3" s="4">
        <f>SUM(F7:F50)</f>
        <v/>
      </c>
      <c r="G3" s="4">
        <f>SUM(G7:G50)</f>
        <v/>
      </c>
      <c r="H3" s="4">
        <f>SUM(H7:H50)</f>
        <v/>
      </c>
      <c r="I3" s="4">
        <f>SUM(I7:I50)</f>
        <v/>
      </c>
      <c r="J3" s="4">
        <f>SUM(J7:J50)</f>
        <v/>
      </c>
      <c r="K3" s="4">
        <f>SUM(K7:K50)</f>
        <v/>
      </c>
      <c r="L3" s="4">
        <f>SUM(L7:L50)</f>
        <v/>
      </c>
      <c r="M3" s="4">
        <f>SUM(M7:M50)</f>
        <v/>
      </c>
      <c r="N3" s="4">
        <f>SUM(N7:N50)</f>
        <v/>
      </c>
      <c r="O3" s="4">
        <f>SUM(O7:O50)</f>
        <v/>
      </c>
      <c r="P3" s="4">
        <f>SUM(P7:P50)</f>
        <v/>
      </c>
      <c r="Q3" s="4">
        <f>SUM(Q7:Q50)</f>
        <v/>
      </c>
      <c r="R3" s="4">
        <f>SUM(R7:R50)</f>
        <v/>
      </c>
      <c r="S3" s="4">
        <f>SUM(S7:S50)</f>
        <v/>
      </c>
      <c r="T3" s="4">
        <f>SUM(T7:T50)</f>
        <v/>
      </c>
      <c r="U3" s="4">
        <f>SUM(U7:U50)</f>
        <v/>
      </c>
      <c r="V3" s="4">
        <f>SUM(V7:V50)</f>
        <v/>
      </c>
      <c r="W3" s="4">
        <f>SUM(W7:W50)</f>
        <v/>
      </c>
      <c r="X3" s="4">
        <f>SUM(X7:X50)</f>
        <v/>
      </c>
      <c r="Y3" s="4">
        <f>SUM(Y7:Y50)</f>
        <v/>
      </c>
      <c r="Z3" s="4">
        <f>SUM(Z7:Z50)</f>
        <v/>
      </c>
      <c r="AA3" s="4">
        <f>SUM(AA7:AA50)</f>
        <v/>
      </c>
      <c r="AB3" s="41">
        <f>SUM(AB7:AB50)</f>
        <v/>
      </c>
      <c r="AC3" s="42">
        <f>SUM(AC7:AC750)</f>
        <v/>
      </c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6" customHeight="1">
      <c r="A5" s="1" t="n"/>
      <c r="B5" s="8" t="inlineStr">
        <is>
          <t>Batt Work</t>
        </is>
      </c>
      <c r="C5" s="1" t="n"/>
      <c r="D5" s="1" t="n"/>
      <c r="E5" s="1" t="n"/>
      <c r="F5" s="1" t="n"/>
      <c r="G5" s="1" t="n"/>
      <c r="H5" s="1" t="n"/>
      <c r="I5" s="1" t="n"/>
      <c r="J5" s="8" t="inlineStr">
        <is>
          <t>Attic Work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8" t="inlineStr">
        <is>
          <t>Foam Work</t>
        </is>
      </c>
      <c r="T5" s="8" t="n"/>
      <c r="U5" s="1" t="n"/>
      <c r="V5" s="1" t="n"/>
      <c r="W5" s="1" t="n"/>
      <c r="X5" s="1" t="n"/>
      <c r="Y5" s="1" t="n"/>
      <c r="Z5" s="1" t="n"/>
      <c r="AA5" s="1" t="n"/>
      <c r="AB5" s="1" t="n"/>
    </row>
    <row r="6" ht="19.15" customHeight="1">
      <c r="A6" s="2" t="inlineStr">
        <is>
          <t>Job Name</t>
        </is>
      </c>
      <c r="B6" s="2" t="inlineStr">
        <is>
          <t>Batt&gt;10ft</t>
        </is>
      </c>
      <c r="C6" s="2" t="inlineStr">
        <is>
          <t>Batt&lt;10ft</t>
        </is>
      </c>
      <c r="D6" s="2" t="inlineStr">
        <is>
          <t>Soffit</t>
        </is>
      </c>
      <c r="E6" s="2" t="inlineStr">
        <is>
          <t>Caulk&amp;Foam</t>
        </is>
      </c>
      <c r="F6" s="2" t="inlineStr">
        <is>
          <t>Bonus</t>
        </is>
      </c>
      <c r="G6" s="2" t="inlineStr">
        <is>
          <t>Cellulose</t>
        </is>
      </c>
      <c r="H6" s="2" t="inlineStr">
        <is>
          <t xml:space="preserve">Other Pay </t>
        </is>
      </c>
      <c r="I6" s="2" t="inlineStr">
        <is>
          <t>BIBS</t>
        </is>
      </c>
      <c r="J6" s="2" t="inlineStr">
        <is>
          <t>R19</t>
        </is>
      </c>
      <c r="K6" s="2" t="inlineStr">
        <is>
          <t>R30</t>
        </is>
      </c>
      <c r="L6" s="2" t="inlineStr">
        <is>
          <t>R38/R40</t>
        </is>
      </c>
      <c r="M6" s="2" t="inlineStr">
        <is>
          <t>R49/R50</t>
        </is>
      </c>
      <c r="N6" s="2" t="inlineStr">
        <is>
          <t>Cellulose</t>
        </is>
      </c>
      <c r="O6" s="2" t="inlineStr">
        <is>
          <t>Soffit</t>
        </is>
      </c>
      <c r="P6" s="2" t="inlineStr">
        <is>
          <t>Bonus</t>
        </is>
      </c>
      <c r="Q6" s="2" t="inlineStr">
        <is>
          <t xml:space="preserve">Other Pay </t>
        </is>
      </c>
      <c r="R6" s="2" t="inlineStr">
        <is>
          <t>Air Seal</t>
        </is>
      </c>
      <c r="S6" s="2" t="inlineStr">
        <is>
          <t>CC 3/4"</t>
        </is>
      </c>
      <c r="T6" s="2" t="inlineStr">
        <is>
          <t>CC 1"</t>
        </is>
      </c>
      <c r="U6" s="2" t="inlineStr">
        <is>
          <t>CC 2"</t>
        </is>
      </c>
      <c r="V6" s="2" t="inlineStr">
        <is>
          <t>CC 3"</t>
        </is>
      </c>
      <c r="W6" s="2" t="inlineStr">
        <is>
          <t>OC 4"</t>
        </is>
      </c>
      <c r="X6" s="2" t="inlineStr">
        <is>
          <t>OC 6"</t>
        </is>
      </c>
      <c r="Y6" s="2" t="inlineStr">
        <is>
          <t>OC 8"</t>
        </is>
      </c>
      <c r="Z6" s="2" t="inlineStr">
        <is>
          <t>Bonus</t>
        </is>
      </c>
      <c r="AA6" s="3" t="inlineStr">
        <is>
          <t>Other Pay</t>
        </is>
      </c>
      <c r="AB6" s="10" t="inlineStr">
        <is>
          <t>Vacation</t>
        </is>
      </c>
      <c r="AC6" s="43" t="inlineStr">
        <is>
          <t>Shop</t>
        </is>
      </c>
    </row>
  </sheetData>
  <pageMargins left="0.7" right="0.7" top="0.75" bottom="0.75" header="0.3" footer="0.3"/>
  <pageSetup orientation="landscape" scale="44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C8"/>
  <sheetViews>
    <sheetView topLeftCell="B1" workbookViewId="0">
      <selection activeCell="B3" sqref="B3"/>
    </sheetView>
  </sheetViews>
  <sheetFormatPr baseColWidth="8" defaultRowHeight="14.5"/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5" t="inlineStr">
        <is>
          <t>Batt&gt;10ft</t>
        </is>
      </c>
      <c r="C2" s="5" t="inlineStr">
        <is>
          <t>Batt&lt;10ft</t>
        </is>
      </c>
      <c r="D2" s="5" t="inlineStr">
        <is>
          <t>Soffit</t>
        </is>
      </c>
      <c r="E2" s="5" t="inlineStr">
        <is>
          <t>Caulk&amp;Foam</t>
        </is>
      </c>
      <c r="F2" s="5" t="inlineStr">
        <is>
          <t>Bonus</t>
        </is>
      </c>
      <c r="G2" s="5" t="inlineStr">
        <is>
          <t>Cellulose</t>
        </is>
      </c>
      <c r="H2" s="5" t="inlineStr">
        <is>
          <t xml:space="preserve">Other Pay </t>
        </is>
      </c>
      <c r="I2" s="5" t="inlineStr">
        <is>
          <t>BIBS</t>
        </is>
      </c>
      <c r="J2" s="5" t="inlineStr">
        <is>
          <t>R19</t>
        </is>
      </c>
      <c r="K2" s="5" t="inlineStr">
        <is>
          <t>R30</t>
        </is>
      </c>
      <c r="L2" s="5" t="inlineStr">
        <is>
          <t>R38/R40</t>
        </is>
      </c>
      <c r="M2" s="5" t="inlineStr">
        <is>
          <t>R49/R50</t>
        </is>
      </c>
      <c r="N2" s="5" t="inlineStr">
        <is>
          <t>Cellulose</t>
        </is>
      </c>
      <c r="O2" s="5" t="inlineStr">
        <is>
          <t>Soffit</t>
        </is>
      </c>
      <c r="P2" s="5" t="inlineStr">
        <is>
          <t>Bonus</t>
        </is>
      </c>
      <c r="Q2" s="5" t="inlineStr">
        <is>
          <t xml:space="preserve">Other Pay </t>
        </is>
      </c>
      <c r="R2" s="5" t="inlineStr">
        <is>
          <t>Air Seal</t>
        </is>
      </c>
      <c r="S2" s="5" t="inlineStr">
        <is>
          <t>CC 3/4"</t>
        </is>
      </c>
      <c r="T2" s="5" t="inlineStr">
        <is>
          <t>CC 1"</t>
        </is>
      </c>
      <c r="U2" s="5" t="inlineStr">
        <is>
          <t>CC 2"</t>
        </is>
      </c>
      <c r="V2" s="5" t="inlineStr">
        <is>
          <t>CC 3"</t>
        </is>
      </c>
      <c r="W2" s="5" t="inlineStr">
        <is>
          <t>OC 4"</t>
        </is>
      </c>
      <c r="X2" s="5" t="inlineStr">
        <is>
          <t>OC 6"</t>
        </is>
      </c>
      <c r="Y2" s="5" t="inlineStr">
        <is>
          <t>OC 8"</t>
        </is>
      </c>
      <c r="Z2" s="5" t="inlineStr">
        <is>
          <t>Bonus</t>
        </is>
      </c>
      <c r="AA2" s="6" t="inlineStr">
        <is>
          <t>Other Pay</t>
        </is>
      </c>
      <c r="AB2" s="7" t="inlineStr">
        <is>
          <t>Vacation</t>
        </is>
      </c>
      <c r="AC2" s="5" t="inlineStr">
        <is>
          <t>Shop</t>
        </is>
      </c>
    </row>
    <row r="3" ht="16" customHeight="1">
      <c r="A3" s="9" t="inlineStr">
        <is>
          <t>Totals:</t>
        </is>
      </c>
      <c r="B3" s="4">
        <f>SUM(B7:B50)</f>
        <v/>
      </c>
      <c r="C3" s="4">
        <f>SUM(C7:C50)</f>
        <v/>
      </c>
      <c r="D3" s="4">
        <f>SUM(D7:D50)</f>
        <v/>
      </c>
      <c r="E3" s="4">
        <f>SUM(E7:E50)</f>
        <v/>
      </c>
      <c r="F3" s="4">
        <f>SUM(F7:F50)</f>
        <v/>
      </c>
      <c r="G3" s="4">
        <f>SUM(G7:G50)</f>
        <v/>
      </c>
      <c r="H3" s="4">
        <f>SUM(H7:H50)</f>
        <v/>
      </c>
      <c r="I3" s="4">
        <f>SUM(I7:I50)</f>
        <v/>
      </c>
      <c r="J3" s="4">
        <f>SUM(J7:J50)</f>
        <v/>
      </c>
      <c r="K3" s="4">
        <f>SUM(K7:K50)</f>
        <v/>
      </c>
      <c r="L3" s="4">
        <f>SUM(L7:L50)</f>
        <v/>
      </c>
      <c r="M3" s="4">
        <f>SUM(M7:M50)</f>
        <v/>
      </c>
      <c r="N3" s="4">
        <f>SUM(N7:N50)</f>
        <v/>
      </c>
      <c r="O3" s="4">
        <f>SUM(O7:O50)</f>
        <v/>
      </c>
      <c r="P3" s="4">
        <f>SUM(P7:P50)</f>
        <v/>
      </c>
      <c r="Q3" s="4">
        <f>SUM(Q7:Q50)</f>
        <v/>
      </c>
      <c r="R3" s="4">
        <f>SUM(R7:R50)</f>
        <v/>
      </c>
      <c r="S3" s="4">
        <f>SUM(S7:S50)</f>
        <v/>
      </c>
      <c r="T3" s="4">
        <f>SUM(T7:T50)</f>
        <v/>
      </c>
      <c r="U3" s="4">
        <f>SUM(U7:U50)</f>
        <v/>
      </c>
      <c r="V3" s="4">
        <f>SUM(V7:V50)</f>
        <v/>
      </c>
      <c r="W3" s="4">
        <f>SUM(W7:W50)</f>
        <v/>
      </c>
      <c r="X3" s="4">
        <f>SUM(X7:X50)</f>
        <v/>
      </c>
      <c r="Y3" s="4">
        <f>SUM(Y7:Y50)</f>
        <v/>
      </c>
      <c r="Z3" s="4">
        <f>SUM(Z7:Z50)</f>
        <v/>
      </c>
      <c r="AA3" s="4">
        <f>SUM(AA7:AA50)</f>
        <v/>
      </c>
      <c r="AB3" s="4">
        <f>SUM(AB7:AB50)</f>
        <v/>
      </c>
      <c r="AC3" s="42">
        <f>SUM(AC7:AC750)</f>
        <v/>
      </c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6" customHeight="1">
      <c r="A5" s="1" t="n"/>
      <c r="B5" s="8" t="inlineStr">
        <is>
          <t>Batt Work</t>
        </is>
      </c>
      <c r="C5" s="1" t="n"/>
      <c r="D5" s="1" t="n"/>
      <c r="E5" s="1" t="n"/>
      <c r="F5" s="1" t="n"/>
      <c r="G5" s="1" t="n"/>
      <c r="H5" s="1" t="n"/>
      <c r="I5" s="1" t="n"/>
      <c r="J5" s="8" t="inlineStr">
        <is>
          <t>Attic Work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8" t="inlineStr">
        <is>
          <t>Foam Work</t>
        </is>
      </c>
      <c r="U5" s="1" t="n"/>
      <c r="V5" s="1" t="n"/>
      <c r="W5" s="1" t="n"/>
      <c r="X5" s="1" t="n"/>
      <c r="Y5" s="1" t="n"/>
      <c r="Z5" s="1" t="n"/>
      <c r="AA5" s="1" t="n"/>
      <c r="AB5" s="1" t="n"/>
    </row>
    <row r="6" ht="32" customHeight="1">
      <c r="A6" s="2" t="inlineStr">
        <is>
          <t>Job Name</t>
        </is>
      </c>
      <c r="B6" s="2" t="inlineStr">
        <is>
          <t>Batt&gt;10ft</t>
        </is>
      </c>
      <c r="C6" s="2" t="inlineStr">
        <is>
          <t>Batt&lt;10ft</t>
        </is>
      </c>
      <c r="D6" s="2" t="inlineStr">
        <is>
          <t>Soffit</t>
        </is>
      </c>
      <c r="E6" s="2" t="inlineStr">
        <is>
          <t>Caulk&amp;Foam</t>
        </is>
      </c>
      <c r="F6" s="2" t="inlineStr">
        <is>
          <t>Bonus</t>
        </is>
      </c>
      <c r="G6" s="2" t="inlineStr">
        <is>
          <t>Cellulose</t>
        </is>
      </c>
      <c r="H6" s="2" t="inlineStr">
        <is>
          <t xml:space="preserve">Other Pay </t>
        </is>
      </c>
      <c r="I6" s="2" t="inlineStr">
        <is>
          <t>BIBS</t>
        </is>
      </c>
      <c r="J6" s="2" t="inlineStr">
        <is>
          <t>R19</t>
        </is>
      </c>
      <c r="K6" s="2" t="inlineStr">
        <is>
          <t>R30</t>
        </is>
      </c>
      <c r="L6" s="2" t="inlineStr">
        <is>
          <t>R38/R40</t>
        </is>
      </c>
      <c r="M6" s="2" t="inlineStr">
        <is>
          <t>R49/R50</t>
        </is>
      </c>
      <c r="N6" s="2" t="inlineStr">
        <is>
          <t>Cellulose</t>
        </is>
      </c>
      <c r="O6" s="2" t="inlineStr">
        <is>
          <t>Soffit</t>
        </is>
      </c>
      <c r="P6" s="2" t="inlineStr">
        <is>
          <t>Bonus</t>
        </is>
      </c>
      <c r="Q6" s="2" t="inlineStr">
        <is>
          <t xml:space="preserve">Other Pay </t>
        </is>
      </c>
      <c r="R6" s="2" t="inlineStr">
        <is>
          <t>Air Seal</t>
        </is>
      </c>
      <c r="S6" s="5" t="inlineStr">
        <is>
          <t>CC 3/4"</t>
        </is>
      </c>
      <c r="T6" s="2" t="inlineStr">
        <is>
          <t>CC 1"</t>
        </is>
      </c>
      <c r="U6" s="2" t="inlineStr">
        <is>
          <t>CC 2"</t>
        </is>
      </c>
      <c r="V6" s="2" t="inlineStr">
        <is>
          <t>CC 3"</t>
        </is>
      </c>
      <c r="W6" s="2" t="inlineStr">
        <is>
          <t>OC 4"</t>
        </is>
      </c>
      <c r="X6" s="2" t="inlineStr">
        <is>
          <t>OC 6"</t>
        </is>
      </c>
      <c r="Y6" s="2" t="inlineStr">
        <is>
          <t>OC 8"</t>
        </is>
      </c>
      <c r="Z6" s="2" t="inlineStr">
        <is>
          <t>Bonus</t>
        </is>
      </c>
      <c r="AA6" s="3" t="inlineStr">
        <is>
          <t>Other Pay</t>
        </is>
      </c>
      <c r="AB6" s="10" t="inlineStr">
        <is>
          <t>Vacation</t>
        </is>
      </c>
      <c r="AC6" s="43" t="inlineStr">
        <is>
          <t>Shop</t>
        </is>
      </c>
    </row>
    <row r="7">
      <c r="A7" t="inlineStr">
        <is>
          <t>Majestic Health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166.67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Majestic Health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</sheetData>
  <pageMargins left="0.7" right="0.7" top="0.75" bottom="0.75" header="0.3" footer="0.3"/>
  <pageSetup orientation="landscape" scale="5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C9"/>
  <sheetViews>
    <sheetView workbookViewId="0">
      <selection activeCell="A7" sqref="A7"/>
    </sheetView>
  </sheetViews>
  <sheetFormatPr baseColWidth="8" defaultRowHeight="14.5"/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5" t="inlineStr">
        <is>
          <t>Batt&gt;10ft</t>
        </is>
      </c>
      <c r="C2" s="5" t="inlineStr">
        <is>
          <t>Batt&lt;10ft</t>
        </is>
      </c>
      <c r="D2" s="5" t="inlineStr">
        <is>
          <t>Soffit</t>
        </is>
      </c>
      <c r="E2" s="5" t="inlineStr">
        <is>
          <t>Caulk&amp;Foam</t>
        </is>
      </c>
      <c r="F2" s="5" t="inlineStr">
        <is>
          <t>Bonus</t>
        </is>
      </c>
      <c r="G2" s="5" t="inlineStr">
        <is>
          <t>Cellulose</t>
        </is>
      </c>
      <c r="H2" s="5" t="inlineStr">
        <is>
          <t xml:space="preserve">Other Pay </t>
        </is>
      </c>
      <c r="I2" s="5" t="inlineStr">
        <is>
          <t>BIBS</t>
        </is>
      </c>
      <c r="J2" s="5" t="inlineStr">
        <is>
          <t>R19</t>
        </is>
      </c>
      <c r="K2" s="5" t="inlineStr">
        <is>
          <t>R30</t>
        </is>
      </c>
      <c r="L2" s="5" t="inlineStr">
        <is>
          <t>R38/R40</t>
        </is>
      </c>
      <c r="M2" s="5" t="inlineStr">
        <is>
          <t>R49/R50</t>
        </is>
      </c>
      <c r="N2" s="5" t="inlineStr">
        <is>
          <t>Cellulose</t>
        </is>
      </c>
      <c r="O2" s="5" t="inlineStr">
        <is>
          <t>Soffit</t>
        </is>
      </c>
      <c r="P2" s="5" t="inlineStr">
        <is>
          <t>Bonus</t>
        </is>
      </c>
      <c r="Q2" s="5" t="inlineStr">
        <is>
          <t xml:space="preserve">Other Pay </t>
        </is>
      </c>
      <c r="R2" s="5" t="inlineStr">
        <is>
          <t>Air Seal</t>
        </is>
      </c>
      <c r="S2" s="5" t="inlineStr">
        <is>
          <t>CC 3/4"</t>
        </is>
      </c>
      <c r="T2" s="5" t="inlineStr">
        <is>
          <t>CC 1"</t>
        </is>
      </c>
      <c r="U2" s="5" t="inlineStr">
        <is>
          <t>CC 2"</t>
        </is>
      </c>
      <c r="V2" s="5" t="inlineStr">
        <is>
          <t>CC 3"</t>
        </is>
      </c>
      <c r="W2" s="5" t="inlineStr">
        <is>
          <t>OC 4"</t>
        </is>
      </c>
      <c r="X2" s="5" t="inlineStr">
        <is>
          <t>OC 6"</t>
        </is>
      </c>
      <c r="Y2" s="5" t="inlineStr">
        <is>
          <t>OC 8"</t>
        </is>
      </c>
      <c r="Z2" s="5" t="inlineStr">
        <is>
          <t>Bonus</t>
        </is>
      </c>
      <c r="AA2" s="6" t="inlineStr">
        <is>
          <t>Other Pay</t>
        </is>
      </c>
      <c r="AB2" s="7" t="inlineStr">
        <is>
          <t>Vacation</t>
        </is>
      </c>
      <c r="AC2" s="5" t="inlineStr">
        <is>
          <t>Shop</t>
        </is>
      </c>
    </row>
    <row r="3" ht="16" customHeight="1">
      <c r="A3" s="9" t="inlineStr">
        <is>
          <t>Totals:</t>
        </is>
      </c>
      <c r="B3" s="4">
        <f>SUM(B7:B50)</f>
        <v/>
      </c>
      <c r="C3" s="4">
        <f>SUM(C7:C50)</f>
        <v/>
      </c>
      <c r="D3" s="4">
        <f>SUM(D7:D50)</f>
        <v/>
      </c>
      <c r="E3" s="4">
        <f>SUM(E7:E50)</f>
        <v/>
      </c>
      <c r="F3" s="4">
        <f>SUM(F7:F50)</f>
        <v/>
      </c>
      <c r="G3" s="4">
        <f>SUM(G7:G50)</f>
        <v/>
      </c>
      <c r="H3" s="4">
        <f>SUM(H7:H50)</f>
        <v/>
      </c>
      <c r="I3" s="4">
        <f>SUM(I7:I50)</f>
        <v/>
      </c>
      <c r="J3" s="4">
        <f>SUM(J7:J50)</f>
        <v/>
      </c>
      <c r="K3" s="4">
        <f>SUM(K7:K50)</f>
        <v/>
      </c>
      <c r="L3" s="4">
        <f>SUM(L7:L50)</f>
        <v/>
      </c>
      <c r="M3" s="4">
        <f>SUM(M7:M50)</f>
        <v/>
      </c>
      <c r="N3" s="4">
        <f>SUM(N7:N50)</f>
        <v/>
      </c>
      <c r="O3" s="4">
        <f>SUM(O7:O50)</f>
        <v/>
      </c>
      <c r="P3" s="4">
        <f>SUM(P7:P50)</f>
        <v/>
      </c>
      <c r="Q3" s="4">
        <f>SUM(Q7:Q50)</f>
        <v/>
      </c>
      <c r="R3" s="4">
        <f>SUM(R7:R50)</f>
        <v/>
      </c>
      <c r="S3" s="4">
        <f>SUM(S7:S50)</f>
        <v/>
      </c>
      <c r="T3" s="4">
        <f>SUM(T7:T50)</f>
        <v/>
      </c>
      <c r="U3" s="4">
        <f>SUM(U7:U50)</f>
        <v/>
      </c>
      <c r="V3" s="4">
        <f>SUM(V7:V50)</f>
        <v/>
      </c>
      <c r="W3" s="4">
        <f>SUM(W7:W50)</f>
        <v/>
      </c>
      <c r="X3" s="4">
        <f>SUM(X7:X50)</f>
        <v/>
      </c>
      <c r="Y3" s="4">
        <f>SUM(Y7:Y50)</f>
        <v/>
      </c>
      <c r="Z3" s="4">
        <f>SUM(Z7:Z50)</f>
        <v/>
      </c>
      <c r="AA3" s="4">
        <f>SUM(AA7:AA50)</f>
        <v/>
      </c>
      <c r="AB3" s="4">
        <f>SUM(AB7:AB50)</f>
        <v/>
      </c>
      <c r="AC3" s="42">
        <f>SUM(AC7:AC750)</f>
        <v/>
      </c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6" customHeight="1">
      <c r="A5" s="1" t="n"/>
      <c r="B5" s="8" t="inlineStr">
        <is>
          <t>Batt Work</t>
        </is>
      </c>
      <c r="C5" s="1" t="n"/>
      <c r="D5" s="1" t="n"/>
      <c r="E5" s="1" t="n"/>
      <c r="F5" s="1" t="n"/>
      <c r="G5" s="1" t="n"/>
      <c r="H5" s="1" t="n"/>
      <c r="I5" s="1" t="n"/>
      <c r="J5" s="8" t="inlineStr">
        <is>
          <t>Attic Work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8" t="inlineStr">
        <is>
          <t>Foam Work</t>
        </is>
      </c>
      <c r="U5" s="1" t="n"/>
      <c r="V5" s="1" t="n"/>
      <c r="W5" s="1" t="n"/>
      <c r="X5" s="1" t="n"/>
      <c r="Y5" s="1" t="n"/>
      <c r="Z5" s="1" t="n"/>
      <c r="AA5" s="1" t="n"/>
      <c r="AB5" s="1" t="n"/>
    </row>
    <row r="6" ht="32" customHeight="1">
      <c r="A6" s="2" t="inlineStr">
        <is>
          <t>Job Name</t>
        </is>
      </c>
      <c r="B6" s="2" t="inlineStr">
        <is>
          <t>Batt&gt;10ft</t>
        </is>
      </c>
      <c r="C6" s="2" t="inlineStr">
        <is>
          <t>Batt&lt;10ft</t>
        </is>
      </c>
      <c r="D6" s="2" t="inlineStr">
        <is>
          <t>Soffit</t>
        </is>
      </c>
      <c r="E6" s="2" t="inlineStr">
        <is>
          <t>Caulk&amp;Foam</t>
        </is>
      </c>
      <c r="F6" s="2" t="inlineStr">
        <is>
          <t>Bonus</t>
        </is>
      </c>
      <c r="G6" s="2" t="inlineStr">
        <is>
          <t>Cellulose</t>
        </is>
      </c>
      <c r="H6" s="2" t="inlineStr">
        <is>
          <t xml:space="preserve">Other Pay </t>
        </is>
      </c>
      <c r="I6" s="2" t="inlineStr">
        <is>
          <t>BIBS</t>
        </is>
      </c>
      <c r="J6" s="2" t="inlineStr">
        <is>
          <t>R19</t>
        </is>
      </c>
      <c r="K6" s="2" t="inlineStr">
        <is>
          <t>R30</t>
        </is>
      </c>
      <c r="L6" s="2" t="inlineStr">
        <is>
          <t>R38/R40</t>
        </is>
      </c>
      <c r="M6" s="2" t="inlineStr">
        <is>
          <t>R49/R50</t>
        </is>
      </c>
      <c r="N6" s="2" t="inlineStr">
        <is>
          <t>Cellulose</t>
        </is>
      </c>
      <c r="O6" s="2" t="inlineStr">
        <is>
          <t>Soffit</t>
        </is>
      </c>
      <c r="P6" s="2" t="inlineStr">
        <is>
          <t>Bonus</t>
        </is>
      </c>
      <c r="Q6" s="2" t="inlineStr">
        <is>
          <t xml:space="preserve">Other Pay </t>
        </is>
      </c>
      <c r="R6" s="2" t="inlineStr">
        <is>
          <t>Air Seal</t>
        </is>
      </c>
      <c r="S6" s="2" t="inlineStr">
        <is>
          <t>CC 3/4"</t>
        </is>
      </c>
      <c r="T6" s="2" t="inlineStr">
        <is>
          <t>CC 1"</t>
        </is>
      </c>
      <c r="U6" s="2" t="inlineStr">
        <is>
          <t>CC 2"</t>
        </is>
      </c>
      <c r="V6" s="2" t="inlineStr">
        <is>
          <t>CC 3"</t>
        </is>
      </c>
      <c r="W6" s="2" t="inlineStr">
        <is>
          <t>OC 4"</t>
        </is>
      </c>
      <c r="X6" s="2" t="inlineStr">
        <is>
          <t>OC 6"</t>
        </is>
      </c>
      <c r="Y6" s="2" t="inlineStr">
        <is>
          <t>OC 8"</t>
        </is>
      </c>
      <c r="Z6" s="2" t="inlineStr">
        <is>
          <t>Bonus</t>
        </is>
      </c>
      <c r="AA6" s="3" t="inlineStr">
        <is>
          <t>Other Pay</t>
        </is>
      </c>
      <c r="AB6" s="10" t="inlineStr">
        <is>
          <t>Vacation</t>
        </is>
      </c>
      <c r="AC6" s="43" t="inlineStr">
        <is>
          <t>Shop</t>
        </is>
      </c>
    </row>
    <row r="7">
      <c r="A7" t="inlineStr">
        <is>
          <t>Sally Julian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448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Sandra Kempf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474</v>
      </c>
      <c r="M8" t="n">
        <v>0</v>
      </c>
      <c r="N8" t="n">
        <v>0</v>
      </c>
      <c r="O8" t="n">
        <v>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Ron Owens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</sheetData>
  <pageMargins left="0.7" right="0.7" top="0.75" bottom="0.75" header="0.3" footer="0.3"/>
  <pageSetup orientation="landscape" scale="52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7" sqref="A7"/>
    </sheetView>
  </sheetViews>
  <sheetFormatPr baseColWidth="8" defaultRowHeight="14.5"/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5" t="inlineStr">
        <is>
          <t>Batt&gt;10ft</t>
        </is>
      </c>
      <c r="C2" s="5" t="inlineStr">
        <is>
          <t>Batt&lt;10ft</t>
        </is>
      </c>
      <c r="D2" s="5" t="inlineStr">
        <is>
          <t>Soffit</t>
        </is>
      </c>
      <c r="E2" s="5" t="inlineStr">
        <is>
          <t>Caulk&amp;Foam</t>
        </is>
      </c>
      <c r="F2" s="5" t="inlineStr">
        <is>
          <t>Bonus</t>
        </is>
      </c>
      <c r="G2" s="5" t="inlineStr">
        <is>
          <t>Cellulose</t>
        </is>
      </c>
      <c r="H2" s="5" t="inlineStr">
        <is>
          <t xml:space="preserve">Other Pay </t>
        </is>
      </c>
      <c r="I2" s="5" t="inlineStr">
        <is>
          <t>BIBS</t>
        </is>
      </c>
      <c r="J2" s="5" t="inlineStr">
        <is>
          <t>R19</t>
        </is>
      </c>
      <c r="K2" s="5" t="inlineStr">
        <is>
          <t>R30</t>
        </is>
      </c>
      <c r="L2" s="5" t="inlineStr">
        <is>
          <t>R38/R40</t>
        </is>
      </c>
      <c r="M2" s="5" t="inlineStr">
        <is>
          <t>R49/R50</t>
        </is>
      </c>
      <c r="N2" s="5" t="inlineStr">
        <is>
          <t>Cellulose</t>
        </is>
      </c>
      <c r="O2" s="5" t="inlineStr">
        <is>
          <t>Soffit</t>
        </is>
      </c>
      <c r="P2" s="5" t="inlineStr">
        <is>
          <t>Bonus</t>
        </is>
      </c>
      <c r="Q2" s="5" t="inlineStr">
        <is>
          <t xml:space="preserve">Other Pay </t>
        </is>
      </c>
      <c r="R2" s="5" t="inlineStr">
        <is>
          <t>Air Seal</t>
        </is>
      </c>
      <c r="S2" s="5" t="inlineStr">
        <is>
          <t>CC 3/4"</t>
        </is>
      </c>
      <c r="T2" s="5" t="inlineStr">
        <is>
          <t>CC 1"</t>
        </is>
      </c>
      <c r="U2" s="5" t="inlineStr">
        <is>
          <t>CC 2"</t>
        </is>
      </c>
      <c r="V2" s="5" t="inlineStr">
        <is>
          <t>CC 3"</t>
        </is>
      </c>
      <c r="W2" s="5" t="inlineStr">
        <is>
          <t>OC 4"</t>
        </is>
      </c>
      <c r="X2" s="5" t="inlineStr">
        <is>
          <t>OC 6"</t>
        </is>
      </c>
      <c r="Y2" s="5" t="inlineStr">
        <is>
          <t>OC 8"</t>
        </is>
      </c>
      <c r="Z2" s="5" t="inlineStr">
        <is>
          <t>Bonus</t>
        </is>
      </c>
      <c r="AA2" s="6" t="inlineStr">
        <is>
          <t>Other Pay</t>
        </is>
      </c>
      <c r="AB2" s="7" t="inlineStr">
        <is>
          <t>Vacation</t>
        </is>
      </c>
      <c r="AC2" s="5" t="inlineStr">
        <is>
          <t>Shop</t>
        </is>
      </c>
    </row>
    <row r="3" ht="16" customHeight="1">
      <c r="A3" s="9" t="inlineStr">
        <is>
          <t>Totals:</t>
        </is>
      </c>
      <c r="B3" s="4">
        <f>SUM(B7:B50)</f>
        <v/>
      </c>
      <c r="C3" s="4">
        <f>SUM(C7:C50)</f>
        <v/>
      </c>
      <c r="D3" s="4">
        <f>SUM(D7:D50)</f>
        <v/>
      </c>
      <c r="E3" s="4">
        <f>SUM(E7:E50)</f>
        <v/>
      </c>
      <c r="F3" s="4">
        <f>SUM(F7:F50)</f>
        <v/>
      </c>
      <c r="G3" s="4">
        <f>SUM(G7:G50)</f>
        <v/>
      </c>
      <c r="H3" s="4">
        <f>SUM(H7:H50)</f>
        <v/>
      </c>
      <c r="I3" s="4">
        <f>SUM(I7:I50)</f>
        <v/>
      </c>
      <c r="J3" s="4">
        <f>SUM(J7:J50)</f>
        <v/>
      </c>
      <c r="K3" s="4">
        <f>SUM(K7:K50)</f>
        <v/>
      </c>
      <c r="L3" s="4">
        <f>SUM(L7:L50)</f>
        <v/>
      </c>
      <c r="M3" s="4">
        <f>SUM(M7:M50)</f>
        <v/>
      </c>
      <c r="N3" s="4">
        <f>SUM(N7:N50)</f>
        <v/>
      </c>
      <c r="O3" s="4">
        <f>SUM(O7:O50)</f>
        <v/>
      </c>
      <c r="P3" s="4">
        <f>SUM(P7:P50)</f>
        <v/>
      </c>
      <c r="Q3" s="4">
        <f>SUM(Q7:Q50)</f>
        <v/>
      </c>
      <c r="R3" s="4">
        <f>SUM(R7:R50)</f>
        <v/>
      </c>
      <c r="S3" s="4">
        <f>SUM(S7:S50)</f>
        <v/>
      </c>
      <c r="T3" s="4">
        <f>SUM(T7:T50)</f>
        <v/>
      </c>
      <c r="U3" s="4">
        <f>SUM(U7:U50)</f>
        <v/>
      </c>
      <c r="V3" s="4">
        <f>SUM(V7:V50)</f>
        <v/>
      </c>
      <c r="W3" s="4">
        <f>SUM(W7:W50)</f>
        <v/>
      </c>
      <c r="X3" s="4">
        <f>SUM(X7:X50)</f>
        <v/>
      </c>
      <c r="Y3" s="4">
        <f>SUM(Y7:Y50)</f>
        <v/>
      </c>
      <c r="Z3" s="4">
        <f>SUM(Z7:Z50)</f>
        <v/>
      </c>
      <c r="AA3" s="4">
        <f>SUM(AA7:AA50)</f>
        <v/>
      </c>
      <c r="AB3" s="4">
        <f>SUM(AB7:AB50)</f>
        <v/>
      </c>
      <c r="AC3" s="42">
        <f>SUM(AC7:AC750)</f>
        <v/>
      </c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6" customHeight="1">
      <c r="A5" s="1" t="n"/>
      <c r="B5" s="8" t="inlineStr">
        <is>
          <t>Batt Work</t>
        </is>
      </c>
      <c r="C5" s="1" t="n"/>
      <c r="D5" s="1" t="n"/>
      <c r="E5" s="1" t="n"/>
      <c r="F5" s="1" t="n"/>
      <c r="G5" s="1" t="n"/>
      <c r="H5" s="1" t="n"/>
      <c r="I5" s="1" t="n"/>
      <c r="J5" s="8" t="inlineStr">
        <is>
          <t>Attic Work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8" t="inlineStr">
        <is>
          <t>Foam Work</t>
        </is>
      </c>
      <c r="U5" s="1" t="n"/>
      <c r="V5" s="1" t="n"/>
      <c r="W5" s="1" t="n"/>
      <c r="X5" s="1" t="n"/>
      <c r="Y5" s="1" t="n"/>
      <c r="Z5" s="1" t="n"/>
      <c r="AA5" s="1" t="n"/>
      <c r="AB5" s="1" t="n"/>
    </row>
    <row r="6" ht="32" customHeight="1">
      <c r="A6" s="2" t="inlineStr">
        <is>
          <t>Job Name</t>
        </is>
      </c>
      <c r="B6" s="2" t="inlineStr">
        <is>
          <t>Batt&gt;10ft</t>
        </is>
      </c>
      <c r="C6" s="2" t="inlineStr">
        <is>
          <t>Batt&lt;10ft</t>
        </is>
      </c>
      <c r="D6" s="2" t="inlineStr">
        <is>
          <t>Soffit</t>
        </is>
      </c>
      <c r="E6" s="2" t="inlineStr">
        <is>
          <t>Caulk&amp;Foam</t>
        </is>
      </c>
      <c r="F6" s="2" t="inlineStr">
        <is>
          <t>Bonus</t>
        </is>
      </c>
      <c r="G6" s="2" t="inlineStr">
        <is>
          <t>Cellulose</t>
        </is>
      </c>
      <c r="H6" s="2" t="inlineStr">
        <is>
          <t xml:space="preserve">Other Pay </t>
        </is>
      </c>
      <c r="I6" s="2" t="inlineStr">
        <is>
          <t>BIBS</t>
        </is>
      </c>
      <c r="J6" s="2" t="inlineStr">
        <is>
          <t>R19</t>
        </is>
      </c>
      <c r="K6" s="2" t="inlineStr">
        <is>
          <t>R30</t>
        </is>
      </c>
      <c r="L6" s="2" t="inlineStr">
        <is>
          <t>R38/R40</t>
        </is>
      </c>
      <c r="M6" s="2" t="inlineStr">
        <is>
          <t>R49/R50</t>
        </is>
      </c>
      <c r="N6" s="2" t="inlineStr">
        <is>
          <t>Cellulose</t>
        </is>
      </c>
      <c r="O6" s="2" t="inlineStr">
        <is>
          <t>Soffit</t>
        </is>
      </c>
      <c r="P6" s="2" t="inlineStr">
        <is>
          <t>Bonus</t>
        </is>
      </c>
      <c r="Q6" s="2" t="inlineStr">
        <is>
          <t xml:space="preserve">Other Pay </t>
        </is>
      </c>
      <c r="R6" s="2" t="inlineStr">
        <is>
          <t>Air Seal</t>
        </is>
      </c>
      <c r="S6" s="5" t="inlineStr">
        <is>
          <t>CC 3/4"</t>
        </is>
      </c>
      <c r="T6" s="2" t="inlineStr">
        <is>
          <t>CC 1"</t>
        </is>
      </c>
      <c r="U6" s="2" t="inlineStr">
        <is>
          <t>CC 2"</t>
        </is>
      </c>
      <c r="V6" s="2" t="inlineStr">
        <is>
          <t>CC 3"</t>
        </is>
      </c>
      <c r="W6" s="2" t="inlineStr">
        <is>
          <t>OC 4"</t>
        </is>
      </c>
      <c r="X6" s="2" t="inlineStr">
        <is>
          <t>OC 6"</t>
        </is>
      </c>
      <c r="Y6" s="2" t="inlineStr">
        <is>
          <t>OC 8"</t>
        </is>
      </c>
      <c r="Z6" s="2" t="inlineStr">
        <is>
          <t>Bonus</t>
        </is>
      </c>
      <c r="AA6" s="3" t="inlineStr">
        <is>
          <t>Other Pay</t>
        </is>
      </c>
      <c r="AB6" s="10" t="inlineStr">
        <is>
          <t>Vacation</t>
        </is>
      </c>
      <c r="AC6" s="43" t="inlineStr">
        <is>
          <t>Shop</t>
        </is>
      </c>
    </row>
    <row r="7">
      <c r="A7" t="inlineStr">
        <is>
          <t>Sally Julian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448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Sandra Kempf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474</v>
      </c>
      <c r="M8" t="n">
        <v>0</v>
      </c>
      <c r="N8" t="n">
        <v>0</v>
      </c>
      <c r="O8" t="n">
        <v>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Ron Owens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7" sqref="A7"/>
    </sheetView>
  </sheetViews>
  <sheetFormatPr baseColWidth="8" defaultRowHeight="14.5"/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5" t="inlineStr">
        <is>
          <t>Batt&gt;10ft</t>
        </is>
      </c>
      <c r="C2" s="5" t="inlineStr">
        <is>
          <t>Batt&lt;10ft</t>
        </is>
      </c>
      <c r="D2" s="5" t="inlineStr">
        <is>
          <t>Soffit</t>
        </is>
      </c>
      <c r="E2" s="5" t="inlineStr">
        <is>
          <t>Caulk&amp;Foam</t>
        </is>
      </c>
      <c r="F2" s="5" t="inlineStr">
        <is>
          <t>Bonus</t>
        </is>
      </c>
      <c r="G2" s="5" t="inlineStr">
        <is>
          <t>Cellulose</t>
        </is>
      </c>
      <c r="H2" s="5" t="inlineStr">
        <is>
          <t xml:space="preserve">Other Pay </t>
        </is>
      </c>
      <c r="I2" s="5" t="inlineStr">
        <is>
          <t>BIBS</t>
        </is>
      </c>
      <c r="J2" s="5" t="inlineStr">
        <is>
          <t>R19</t>
        </is>
      </c>
      <c r="K2" s="5" t="inlineStr">
        <is>
          <t>R30</t>
        </is>
      </c>
      <c r="L2" s="5" t="inlineStr">
        <is>
          <t>R38/R40</t>
        </is>
      </c>
      <c r="M2" s="5" t="inlineStr">
        <is>
          <t>R49/R50</t>
        </is>
      </c>
      <c r="N2" s="5" t="inlineStr">
        <is>
          <t>Cellulose</t>
        </is>
      </c>
      <c r="O2" s="5" t="inlineStr">
        <is>
          <t>Soffit</t>
        </is>
      </c>
      <c r="P2" s="5" t="inlineStr">
        <is>
          <t>Bonus</t>
        </is>
      </c>
      <c r="Q2" s="5" t="inlineStr">
        <is>
          <t xml:space="preserve">Other Pay </t>
        </is>
      </c>
      <c r="R2" s="5" t="inlineStr">
        <is>
          <t>Air Seal</t>
        </is>
      </c>
      <c r="S2" s="5" t="inlineStr">
        <is>
          <t>CC 3/4"</t>
        </is>
      </c>
      <c r="T2" s="5" t="inlineStr">
        <is>
          <t>CC 1"</t>
        </is>
      </c>
      <c r="U2" s="5" t="inlineStr">
        <is>
          <t>CC 2"</t>
        </is>
      </c>
      <c r="V2" s="5" t="inlineStr">
        <is>
          <t>CC 3"</t>
        </is>
      </c>
      <c r="W2" s="5" t="inlineStr">
        <is>
          <t>OC 4"</t>
        </is>
      </c>
      <c r="X2" s="5" t="inlineStr">
        <is>
          <t>OC 6"</t>
        </is>
      </c>
      <c r="Y2" s="5" t="inlineStr">
        <is>
          <t>OC 8"</t>
        </is>
      </c>
      <c r="Z2" s="5" t="inlineStr">
        <is>
          <t>Bonus</t>
        </is>
      </c>
      <c r="AA2" s="6" t="inlineStr">
        <is>
          <t>Other Pay</t>
        </is>
      </c>
      <c r="AB2" s="7" t="inlineStr">
        <is>
          <t>Vacation</t>
        </is>
      </c>
      <c r="AC2" s="5" t="inlineStr">
        <is>
          <t>Shop</t>
        </is>
      </c>
    </row>
    <row r="3" ht="16" customHeight="1">
      <c r="A3" s="9" t="inlineStr">
        <is>
          <t>Totals:</t>
        </is>
      </c>
      <c r="B3" s="4">
        <f>SUM(B7:B50)</f>
        <v/>
      </c>
      <c r="C3" s="4">
        <f>SUM(C7:C50)</f>
        <v/>
      </c>
      <c r="D3" s="4">
        <f>SUM(D7:D50)</f>
        <v/>
      </c>
      <c r="E3" s="4">
        <f>SUM(E7:E50)</f>
        <v/>
      </c>
      <c r="F3" s="4">
        <f>SUM(F7:F50)</f>
        <v/>
      </c>
      <c r="G3" s="4">
        <f>SUM(G7:G50)</f>
        <v/>
      </c>
      <c r="H3" s="4">
        <f>SUM(H7:H50)</f>
        <v/>
      </c>
      <c r="I3" s="4">
        <f>SUM(I7:I50)</f>
        <v/>
      </c>
      <c r="J3" s="4">
        <f>SUM(J7:J50)</f>
        <v/>
      </c>
      <c r="K3" s="4">
        <f>SUM(K7:K50)</f>
        <v/>
      </c>
      <c r="L3" s="4">
        <f>SUM(L7:L50)</f>
        <v/>
      </c>
      <c r="M3" s="4">
        <f>SUM(M7:M50)</f>
        <v/>
      </c>
      <c r="N3" s="4">
        <f>SUM(N7:N50)</f>
        <v/>
      </c>
      <c r="O3" s="4">
        <f>SUM(O7:O50)</f>
        <v/>
      </c>
      <c r="P3" s="4">
        <f>SUM(P7:P50)</f>
        <v/>
      </c>
      <c r="Q3" s="4">
        <f>SUM(Q7:Q50)</f>
        <v/>
      </c>
      <c r="R3" s="4">
        <f>SUM(R7:R50)</f>
        <v/>
      </c>
      <c r="S3" s="4">
        <f>SUM(S7:S50)</f>
        <v/>
      </c>
      <c r="T3" s="4">
        <f>SUM(T7:T50)</f>
        <v/>
      </c>
      <c r="U3" s="4">
        <f>SUM(U7:U50)</f>
        <v/>
      </c>
      <c r="V3" s="4">
        <f>SUM(V7:V50)</f>
        <v/>
      </c>
      <c r="W3" s="4">
        <f>SUM(W7:W50)</f>
        <v/>
      </c>
      <c r="X3" s="4">
        <f>SUM(X7:X50)</f>
        <v/>
      </c>
      <c r="Y3" s="4">
        <f>SUM(Y7:Y50)</f>
        <v/>
      </c>
      <c r="Z3" s="4">
        <f>SUM(Z7:Z50)</f>
        <v/>
      </c>
      <c r="AA3" s="4">
        <f>SUM(AA7:AA50)</f>
        <v/>
      </c>
      <c r="AB3" s="4">
        <f>SUM(AB7:AB50)</f>
        <v/>
      </c>
      <c r="AC3" s="42">
        <f>SUM(AC7:AC750)</f>
        <v/>
      </c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6" customHeight="1">
      <c r="A5" s="1" t="n"/>
      <c r="B5" s="8" t="inlineStr">
        <is>
          <t>Batt Work</t>
        </is>
      </c>
      <c r="C5" s="1" t="n"/>
      <c r="D5" s="1" t="n"/>
      <c r="E5" s="1" t="n"/>
      <c r="F5" s="1" t="n"/>
      <c r="G5" s="1" t="n"/>
      <c r="H5" s="1" t="n"/>
      <c r="I5" s="1" t="n"/>
      <c r="J5" s="8" t="inlineStr">
        <is>
          <t>Attic Work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8" t="inlineStr">
        <is>
          <t>Foam Work</t>
        </is>
      </c>
      <c r="U5" s="1" t="n"/>
      <c r="V5" s="1" t="n"/>
      <c r="W5" s="1" t="n"/>
      <c r="X5" s="1" t="n"/>
      <c r="Y5" s="1" t="n"/>
      <c r="Z5" s="1" t="n"/>
      <c r="AA5" s="1" t="n"/>
      <c r="AB5" s="1" t="n"/>
    </row>
    <row r="6" ht="32" customHeight="1">
      <c r="A6" s="2" t="inlineStr">
        <is>
          <t>Job Name</t>
        </is>
      </c>
      <c r="B6" s="2" t="inlineStr">
        <is>
          <t>Batt&gt;10ft</t>
        </is>
      </c>
      <c r="C6" s="2" t="inlineStr">
        <is>
          <t>Batt&lt;10ft</t>
        </is>
      </c>
      <c r="D6" s="2" t="inlineStr">
        <is>
          <t>Soffit</t>
        </is>
      </c>
      <c r="E6" s="2" t="inlineStr">
        <is>
          <t>Caulk&amp;Foam</t>
        </is>
      </c>
      <c r="F6" s="2" t="inlineStr">
        <is>
          <t>Bonus</t>
        </is>
      </c>
      <c r="G6" s="2" t="inlineStr">
        <is>
          <t>Cellulose</t>
        </is>
      </c>
      <c r="H6" s="2" t="inlineStr">
        <is>
          <t xml:space="preserve">Other Pay </t>
        </is>
      </c>
      <c r="I6" s="2" t="inlineStr">
        <is>
          <t>BIBS</t>
        </is>
      </c>
      <c r="J6" s="2" t="inlineStr">
        <is>
          <t>R19</t>
        </is>
      </c>
      <c r="K6" s="2" t="inlineStr">
        <is>
          <t>R30</t>
        </is>
      </c>
      <c r="L6" s="2" t="inlineStr">
        <is>
          <t>R38/R40</t>
        </is>
      </c>
      <c r="M6" s="2" t="inlineStr">
        <is>
          <t>R49/R50</t>
        </is>
      </c>
      <c r="N6" s="2" t="inlineStr">
        <is>
          <t>Cellulose</t>
        </is>
      </c>
      <c r="O6" s="2" t="inlineStr">
        <is>
          <t>Soffit</t>
        </is>
      </c>
      <c r="P6" s="2" t="inlineStr">
        <is>
          <t>Bonus</t>
        </is>
      </c>
      <c r="Q6" s="2" t="inlineStr">
        <is>
          <t xml:space="preserve">Other Pay </t>
        </is>
      </c>
      <c r="R6" s="2" t="inlineStr">
        <is>
          <t>Air Seal</t>
        </is>
      </c>
      <c r="S6" s="5" t="inlineStr">
        <is>
          <t>CC 3/4"</t>
        </is>
      </c>
      <c r="T6" s="2" t="inlineStr">
        <is>
          <t>CC 1"</t>
        </is>
      </c>
      <c r="U6" s="2" t="inlineStr">
        <is>
          <t>CC 2"</t>
        </is>
      </c>
      <c r="V6" s="2" t="inlineStr">
        <is>
          <t>CC 3"</t>
        </is>
      </c>
      <c r="W6" s="2" t="inlineStr">
        <is>
          <t>OC 4"</t>
        </is>
      </c>
      <c r="X6" s="2" t="inlineStr">
        <is>
          <t>OC 6"</t>
        </is>
      </c>
      <c r="Y6" s="2" t="inlineStr">
        <is>
          <t>OC 8"</t>
        </is>
      </c>
      <c r="Z6" s="2" t="inlineStr">
        <is>
          <t>Bonus</t>
        </is>
      </c>
      <c r="AA6" s="3" t="inlineStr">
        <is>
          <t>Other Pay</t>
        </is>
      </c>
      <c r="AB6" s="10" t="inlineStr">
        <is>
          <t>Vacation</t>
        </is>
      </c>
      <c r="AC6" s="43" t="inlineStr">
        <is>
          <t>Shop</t>
        </is>
      </c>
    </row>
    <row r="7">
      <c r="A7" t="inlineStr">
        <is>
          <t>Sally Julian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448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Sandra Kempf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474</v>
      </c>
      <c r="M8" t="n">
        <v>0</v>
      </c>
      <c r="N8" t="n">
        <v>0</v>
      </c>
      <c r="O8" t="n">
        <v>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Ron Owens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7" sqref="A7"/>
    </sheetView>
  </sheetViews>
  <sheetFormatPr baseColWidth="8" defaultRowHeight="14.5"/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5" t="inlineStr">
        <is>
          <t>Batt&gt;10ft</t>
        </is>
      </c>
      <c r="C2" s="5" t="inlineStr">
        <is>
          <t>Batt&lt;10ft</t>
        </is>
      </c>
      <c r="D2" s="5" t="inlineStr">
        <is>
          <t>Soffit</t>
        </is>
      </c>
      <c r="E2" s="5" t="inlineStr">
        <is>
          <t>Caulk&amp;Foam</t>
        </is>
      </c>
      <c r="F2" s="5" t="inlineStr">
        <is>
          <t>Bonus</t>
        </is>
      </c>
      <c r="G2" s="5" t="inlineStr">
        <is>
          <t>Cellulose</t>
        </is>
      </c>
      <c r="H2" s="5" t="inlineStr">
        <is>
          <t xml:space="preserve">Other Pay </t>
        </is>
      </c>
      <c r="I2" s="5" t="inlineStr">
        <is>
          <t>BIBS</t>
        </is>
      </c>
      <c r="J2" s="5" t="inlineStr">
        <is>
          <t>R19</t>
        </is>
      </c>
      <c r="K2" s="5" t="inlineStr">
        <is>
          <t>R30</t>
        </is>
      </c>
      <c r="L2" s="5" t="inlineStr">
        <is>
          <t>R38/R40</t>
        </is>
      </c>
      <c r="M2" s="5" t="inlineStr">
        <is>
          <t>R49/R50</t>
        </is>
      </c>
      <c r="N2" s="5" t="inlineStr">
        <is>
          <t>Cellulose</t>
        </is>
      </c>
      <c r="O2" s="5" t="inlineStr">
        <is>
          <t>Soffit</t>
        </is>
      </c>
      <c r="P2" s="5" t="inlineStr">
        <is>
          <t>Bonus</t>
        </is>
      </c>
      <c r="Q2" s="5" t="inlineStr">
        <is>
          <t xml:space="preserve">Other Pay </t>
        </is>
      </c>
      <c r="R2" s="5" t="inlineStr">
        <is>
          <t>Air Seal</t>
        </is>
      </c>
      <c r="S2" s="5" t="inlineStr">
        <is>
          <t>CC 3/4"</t>
        </is>
      </c>
      <c r="T2" s="5" t="inlineStr">
        <is>
          <t>CC 1"</t>
        </is>
      </c>
      <c r="U2" s="5" t="inlineStr">
        <is>
          <t>CC 2"</t>
        </is>
      </c>
      <c r="V2" s="5" t="inlineStr">
        <is>
          <t>CC 3"</t>
        </is>
      </c>
      <c r="W2" s="5" t="inlineStr">
        <is>
          <t>OC  4"</t>
        </is>
      </c>
      <c r="X2" s="5" t="inlineStr">
        <is>
          <t>OC 6"</t>
        </is>
      </c>
      <c r="Y2" s="5" t="inlineStr">
        <is>
          <t>OC 8"</t>
        </is>
      </c>
      <c r="Z2" s="5" t="inlineStr">
        <is>
          <t>Bonus</t>
        </is>
      </c>
      <c r="AA2" s="6" t="inlineStr">
        <is>
          <t>Other Pay</t>
        </is>
      </c>
      <c r="AB2" s="7" t="inlineStr">
        <is>
          <t>Vacation</t>
        </is>
      </c>
      <c r="AC2" s="5" t="inlineStr">
        <is>
          <t>Shop</t>
        </is>
      </c>
    </row>
    <row r="3" ht="16" customHeight="1">
      <c r="A3" s="9" t="inlineStr">
        <is>
          <t>Totals:</t>
        </is>
      </c>
      <c r="B3" s="4">
        <f>SUM(B7:B50)</f>
        <v/>
      </c>
      <c r="C3" s="4">
        <f>SUM(C7:C50)</f>
        <v/>
      </c>
      <c r="D3" s="4">
        <f>SUM(D7:D50)</f>
        <v/>
      </c>
      <c r="E3" s="4">
        <f>SUM(E7:E50)</f>
        <v/>
      </c>
      <c r="F3" s="4">
        <f>SUM(F7:F50)</f>
        <v/>
      </c>
      <c r="G3" s="4">
        <f>SUM(G7:G50)</f>
        <v/>
      </c>
      <c r="H3" s="4">
        <f>SUM(H7:H50)</f>
        <v/>
      </c>
      <c r="I3" s="4">
        <f>SUM(I7:I50)</f>
        <v/>
      </c>
      <c r="J3" s="4">
        <f>SUM(J7:J50)</f>
        <v/>
      </c>
      <c r="K3" s="4">
        <f>SUM(K7:K50)</f>
        <v/>
      </c>
      <c r="L3" s="4">
        <f>SUM(L7:L50)</f>
        <v/>
      </c>
      <c r="M3" s="4">
        <f>SUM(M7:M50)</f>
        <v/>
      </c>
      <c r="N3" s="4">
        <f>SUM(N7:N50)</f>
        <v/>
      </c>
      <c r="O3" s="4">
        <f>SUM(O7:O50)</f>
        <v/>
      </c>
      <c r="P3" s="4">
        <f>SUM(P7:P50)</f>
        <v/>
      </c>
      <c r="Q3" s="4">
        <f>SUM(Q7:Q50)</f>
        <v/>
      </c>
      <c r="R3" s="4">
        <f>SUM(R7:R50)</f>
        <v/>
      </c>
      <c r="S3" s="4">
        <f>SUM(S7:S50)</f>
        <v/>
      </c>
      <c r="T3" s="4">
        <f>SUM(T7:T50)</f>
        <v/>
      </c>
      <c r="U3" s="4">
        <f>SUM(U7:U50)</f>
        <v/>
      </c>
      <c r="V3" s="4">
        <f>SUM(V7:V50)</f>
        <v/>
      </c>
      <c r="W3" s="4">
        <f>SUM(W7:W50)</f>
        <v/>
      </c>
      <c r="X3" s="4">
        <f>SUM(X7:X50)</f>
        <v/>
      </c>
      <c r="Y3" s="4">
        <f>SUM(Y7:Y50)</f>
        <v/>
      </c>
      <c r="Z3" s="4">
        <f>SUM(Z7:Z50)</f>
        <v/>
      </c>
      <c r="AA3" s="4">
        <f>SUM(AA7:AA50)</f>
        <v/>
      </c>
      <c r="AB3" s="4">
        <f>SUM(AB7:AB50)</f>
        <v/>
      </c>
      <c r="AC3" s="42">
        <f>SUM(AC7:AC750)</f>
        <v/>
      </c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6" customHeight="1">
      <c r="A5" s="1" t="n"/>
      <c r="B5" s="8" t="inlineStr">
        <is>
          <t>Batt Work</t>
        </is>
      </c>
      <c r="C5" s="1" t="n"/>
      <c r="D5" s="1" t="n"/>
      <c r="E5" s="1" t="n"/>
      <c r="F5" s="1" t="n"/>
      <c r="G5" s="1" t="n"/>
      <c r="H5" s="1" t="n"/>
      <c r="I5" s="1" t="n"/>
      <c r="J5" s="8" t="inlineStr">
        <is>
          <t>Attic Work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8" t="inlineStr">
        <is>
          <t>Foam Work</t>
        </is>
      </c>
      <c r="U5" s="1" t="n"/>
      <c r="V5" s="1" t="n"/>
      <c r="W5" s="1" t="n"/>
      <c r="X5" s="1" t="n"/>
      <c r="Y5" s="1" t="n"/>
      <c r="Z5" s="1" t="n"/>
      <c r="AA5" s="1" t="n"/>
      <c r="AB5" s="1" t="n"/>
    </row>
    <row r="6" ht="32" customHeight="1">
      <c r="A6" s="2" t="inlineStr">
        <is>
          <t>Job Name</t>
        </is>
      </c>
      <c r="B6" s="2" t="inlineStr">
        <is>
          <t>Batt&gt;10ft</t>
        </is>
      </c>
      <c r="C6" s="2" t="inlineStr">
        <is>
          <t>Batt&lt;10ft</t>
        </is>
      </c>
      <c r="D6" s="2" t="inlineStr">
        <is>
          <t>Soffit</t>
        </is>
      </c>
      <c r="E6" s="2" t="inlineStr">
        <is>
          <t>Caulk&amp;Foam</t>
        </is>
      </c>
      <c r="F6" s="2" t="inlineStr">
        <is>
          <t>Bonus</t>
        </is>
      </c>
      <c r="G6" s="2" t="inlineStr">
        <is>
          <t>Cellulose</t>
        </is>
      </c>
      <c r="H6" s="2" t="inlineStr">
        <is>
          <t xml:space="preserve">Other Pay </t>
        </is>
      </c>
      <c r="I6" s="2" t="inlineStr">
        <is>
          <t>BIBS</t>
        </is>
      </c>
      <c r="J6" s="2" t="inlineStr">
        <is>
          <t>R19</t>
        </is>
      </c>
      <c r="K6" s="2" t="inlineStr">
        <is>
          <t>R30</t>
        </is>
      </c>
      <c r="L6" s="2" t="inlineStr">
        <is>
          <t>R38/R40</t>
        </is>
      </c>
      <c r="M6" s="2" t="inlineStr">
        <is>
          <t>R49/R50</t>
        </is>
      </c>
      <c r="N6" s="2" t="inlineStr">
        <is>
          <t>Cellulose</t>
        </is>
      </c>
      <c r="O6" s="2" t="inlineStr">
        <is>
          <t>Soffit</t>
        </is>
      </c>
      <c r="P6" s="2" t="inlineStr">
        <is>
          <t>Bonus</t>
        </is>
      </c>
      <c r="Q6" s="2" t="inlineStr">
        <is>
          <t xml:space="preserve">Other Pay </t>
        </is>
      </c>
      <c r="R6" s="2" t="inlineStr">
        <is>
          <t>Air Seal</t>
        </is>
      </c>
      <c r="S6" s="2" t="inlineStr">
        <is>
          <t>CC 3/4"</t>
        </is>
      </c>
      <c r="T6" s="2" t="inlineStr">
        <is>
          <t>CC 1"</t>
        </is>
      </c>
      <c r="U6" s="2" t="inlineStr">
        <is>
          <t>CC 2"</t>
        </is>
      </c>
      <c r="V6" s="2" t="inlineStr">
        <is>
          <t>CC 3"</t>
        </is>
      </c>
      <c r="W6" s="2" t="inlineStr">
        <is>
          <t>OC 4"</t>
        </is>
      </c>
      <c r="X6" s="2" t="inlineStr">
        <is>
          <t>OC 6"</t>
        </is>
      </c>
      <c r="Y6" s="2" t="inlineStr">
        <is>
          <t>OC 8"</t>
        </is>
      </c>
      <c r="Z6" s="2" t="inlineStr">
        <is>
          <t>Bonus</t>
        </is>
      </c>
      <c r="AA6" s="3" t="inlineStr">
        <is>
          <t>Other Pay</t>
        </is>
      </c>
      <c r="AB6" s="10" t="inlineStr">
        <is>
          <t>Vacation</t>
        </is>
      </c>
      <c r="AC6" s="43" t="inlineStr">
        <is>
          <t>Shop</t>
        </is>
      </c>
    </row>
    <row r="7">
      <c r="A7" t="inlineStr">
        <is>
          <t>Majestic Health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166.67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Majestic Health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7" sqref="A7"/>
    </sheetView>
  </sheetViews>
  <sheetFormatPr baseColWidth="8" defaultRowHeight="14.5"/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5" t="inlineStr">
        <is>
          <t>Batt&gt;10ft</t>
        </is>
      </c>
      <c r="C2" s="5" t="inlineStr">
        <is>
          <t>Batt&lt;10ft</t>
        </is>
      </c>
      <c r="D2" s="5" t="inlineStr">
        <is>
          <t>Soffit</t>
        </is>
      </c>
      <c r="E2" s="5" t="inlineStr">
        <is>
          <t>Caulk&amp;Foam</t>
        </is>
      </c>
      <c r="F2" s="5" t="inlineStr">
        <is>
          <t>Bonus</t>
        </is>
      </c>
      <c r="G2" s="5" t="inlineStr">
        <is>
          <t>Cellulose</t>
        </is>
      </c>
      <c r="H2" s="5" t="inlineStr">
        <is>
          <t xml:space="preserve">Other Pay </t>
        </is>
      </c>
      <c r="I2" s="5" t="inlineStr">
        <is>
          <t>BIBS</t>
        </is>
      </c>
      <c r="J2" s="5" t="inlineStr">
        <is>
          <t>R19</t>
        </is>
      </c>
      <c r="K2" s="5" t="inlineStr">
        <is>
          <t>R30</t>
        </is>
      </c>
      <c r="L2" s="5" t="inlineStr">
        <is>
          <t>R38/R40</t>
        </is>
      </c>
      <c r="M2" s="5" t="inlineStr">
        <is>
          <t>R49/R50</t>
        </is>
      </c>
      <c r="N2" s="5" t="inlineStr">
        <is>
          <t>Cellulose</t>
        </is>
      </c>
      <c r="O2" s="5" t="inlineStr">
        <is>
          <t>Soffit</t>
        </is>
      </c>
      <c r="P2" s="5" t="inlineStr">
        <is>
          <t>Bonus</t>
        </is>
      </c>
      <c r="Q2" s="5" t="inlineStr">
        <is>
          <t xml:space="preserve">Other Pay </t>
        </is>
      </c>
      <c r="R2" s="5" t="inlineStr">
        <is>
          <t>Air Seal</t>
        </is>
      </c>
      <c r="S2" s="5" t="inlineStr">
        <is>
          <t>CC 3/4"</t>
        </is>
      </c>
      <c r="T2" s="5" t="inlineStr">
        <is>
          <t>CC 1"</t>
        </is>
      </c>
      <c r="U2" s="5" t="inlineStr">
        <is>
          <t>CC 2"</t>
        </is>
      </c>
      <c r="V2" s="5" t="inlineStr">
        <is>
          <t>CC 3"</t>
        </is>
      </c>
      <c r="W2" s="5" t="inlineStr">
        <is>
          <t>OC 4"</t>
        </is>
      </c>
      <c r="X2" s="5" t="inlineStr">
        <is>
          <t>OC 6"</t>
        </is>
      </c>
      <c r="Y2" s="5" t="inlineStr">
        <is>
          <t>OC 8"</t>
        </is>
      </c>
      <c r="Z2" s="5" t="inlineStr">
        <is>
          <t>Bonus</t>
        </is>
      </c>
      <c r="AA2" s="6" t="inlineStr">
        <is>
          <t>Other Pay</t>
        </is>
      </c>
      <c r="AB2" s="7" t="inlineStr">
        <is>
          <t>Vacation</t>
        </is>
      </c>
      <c r="AC2" s="5" t="inlineStr">
        <is>
          <t>Shop</t>
        </is>
      </c>
    </row>
    <row r="3" ht="16" customHeight="1">
      <c r="A3" s="9" t="inlineStr">
        <is>
          <t>Totals:</t>
        </is>
      </c>
      <c r="B3" s="4">
        <f>SUM(B7:B50)</f>
        <v/>
      </c>
      <c r="C3" s="4">
        <f>SUM(C7:C50)</f>
        <v/>
      </c>
      <c r="D3" s="4">
        <f>SUM(D7:D50)</f>
        <v/>
      </c>
      <c r="E3" s="4">
        <f>SUM(E7:E50)</f>
        <v/>
      </c>
      <c r="F3" s="4">
        <f>SUM(F7:F50)</f>
        <v/>
      </c>
      <c r="G3" s="4">
        <f>SUM(G7:G50)</f>
        <v/>
      </c>
      <c r="H3" s="4">
        <f>SUM(H7:H50)</f>
        <v/>
      </c>
      <c r="I3" s="4">
        <f>SUM(I7:I50)</f>
        <v/>
      </c>
      <c r="J3" s="4">
        <f>SUM(J7:J50)</f>
        <v/>
      </c>
      <c r="K3" s="4">
        <f>SUM(K7:K50)</f>
        <v/>
      </c>
      <c r="L3" s="4">
        <f>SUM(L7:L50)</f>
        <v/>
      </c>
      <c r="M3" s="4">
        <f>SUM(M7:M50)</f>
        <v/>
      </c>
      <c r="N3" s="4">
        <f>SUM(N7:N50)</f>
        <v/>
      </c>
      <c r="O3" s="4">
        <f>SUM(O7:O50)</f>
        <v/>
      </c>
      <c r="P3" s="4">
        <f>SUM(P7:P50)</f>
        <v/>
      </c>
      <c r="Q3" s="4">
        <f>SUM(Q7:Q50)</f>
        <v/>
      </c>
      <c r="R3" s="4">
        <f>SUM(R7:R50)</f>
        <v/>
      </c>
      <c r="S3" s="4">
        <f>SUM(S7:S50)</f>
        <v/>
      </c>
      <c r="T3" s="4">
        <f>SUM(T7:T50)</f>
        <v/>
      </c>
      <c r="U3" s="4">
        <f>SUM(U7:U50)</f>
        <v/>
      </c>
      <c r="V3" s="4">
        <f>SUM(V7:V50)</f>
        <v/>
      </c>
      <c r="W3" s="4">
        <f>SUM(W7:W50)</f>
        <v/>
      </c>
      <c r="X3" s="4">
        <f>SUM(X7:X50)</f>
        <v/>
      </c>
      <c r="Y3" s="4">
        <f>SUM(Y7:Y50)</f>
        <v/>
      </c>
      <c r="Z3" s="4">
        <f>SUM(Z7:Z50)</f>
        <v/>
      </c>
      <c r="AA3" s="4">
        <f>SUM(AA7:AA50)</f>
        <v/>
      </c>
      <c r="AB3" s="4">
        <f>SUM(AB7:AB50)</f>
        <v/>
      </c>
      <c r="AC3" s="42">
        <f>SUM(AC7:AC750)</f>
        <v/>
      </c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6" customHeight="1">
      <c r="A5" s="1" t="n"/>
      <c r="B5" s="8" t="inlineStr">
        <is>
          <t>Batt Work</t>
        </is>
      </c>
      <c r="C5" s="1" t="n"/>
      <c r="D5" s="1" t="n"/>
      <c r="E5" s="1" t="n"/>
      <c r="F5" s="1" t="n"/>
      <c r="G5" s="1" t="n"/>
      <c r="H5" s="1" t="n"/>
      <c r="I5" s="1" t="n"/>
      <c r="J5" s="8" t="inlineStr">
        <is>
          <t>Attic Work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8" t="inlineStr">
        <is>
          <t>Foam Work</t>
        </is>
      </c>
      <c r="U5" s="1" t="n"/>
      <c r="V5" s="1" t="n"/>
      <c r="W5" s="1" t="n"/>
      <c r="X5" s="1" t="n"/>
      <c r="Y5" s="1" t="n"/>
      <c r="Z5" s="1" t="n"/>
      <c r="AA5" s="1" t="n"/>
      <c r="AB5" s="1" t="n"/>
    </row>
    <row r="6" ht="32" customHeight="1">
      <c r="A6" s="2" t="inlineStr">
        <is>
          <t>Job Name</t>
        </is>
      </c>
      <c r="B6" s="2" t="inlineStr">
        <is>
          <t>Batt&gt;10ft</t>
        </is>
      </c>
      <c r="C6" s="2" t="inlineStr">
        <is>
          <t>Batt&lt;10ft</t>
        </is>
      </c>
      <c r="D6" s="2" t="inlineStr">
        <is>
          <t>Soffit</t>
        </is>
      </c>
      <c r="E6" s="2" t="inlineStr">
        <is>
          <t>Caulk&amp;Foam</t>
        </is>
      </c>
      <c r="F6" s="2" t="inlineStr">
        <is>
          <t>Bonus</t>
        </is>
      </c>
      <c r="G6" s="2" t="inlineStr">
        <is>
          <t>Cellulose</t>
        </is>
      </c>
      <c r="H6" s="2" t="inlineStr">
        <is>
          <t xml:space="preserve">Other Pay </t>
        </is>
      </c>
      <c r="I6" s="2" t="inlineStr">
        <is>
          <t>BIBS</t>
        </is>
      </c>
      <c r="J6" s="2" t="inlineStr">
        <is>
          <t>R19</t>
        </is>
      </c>
      <c r="K6" s="2" t="inlineStr">
        <is>
          <t>R30</t>
        </is>
      </c>
      <c r="L6" s="2" t="inlineStr">
        <is>
          <t>R38/R40</t>
        </is>
      </c>
      <c r="M6" s="2" t="inlineStr">
        <is>
          <t>R49/R50</t>
        </is>
      </c>
      <c r="N6" s="2" t="inlineStr">
        <is>
          <t>Cellulose</t>
        </is>
      </c>
      <c r="O6" s="2" t="inlineStr">
        <is>
          <t>Soffit</t>
        </is>
      </c>
      <c r="P6" s="2" t="inlineStr">
        <is>
          <t>Bonus</t>
        </is>
      </c>
      <c r="Q6" s="2" t="inlineStr">
        <is>
          <t xml:space="preserve">Other Pay </t>
        </is>
      </c>
      <c r="R6" s="2" t="inlineStr">
        <is>
          <t>Air Seal</t>
        </is>
      </c>
      <c r="S6" s="2" t="inlineStr">
        <is>
          <t>CC 3/4"</t>
        </is>
      </c>
      <c r="T6" s="2" t="inlineStr">
        <is>
          <t>CC 1"</t>
        </is>
      </c>
      <c r="U6" s="2" t="inlineStr">
        <is>
          <t>CC 2"</t>
        </is>
      </c>
      <c r="V6" s="2" t="inlineStr">
        <is>
          <t>CC 3"</t>
        </is>
      </c>
      <c r="W6" s="2" t="inlineStr">
        <is>
          <t>OC 4"</t>
        </is>
      </c>
      <c r="X6" s="2" t="inlineStr">
        <is>
          <t>OC 6"</t>
        </is>
      </c>
      <c r="Y6" s="2" t="inlineStr">
        <is>
          <t>OC 8"</t>
        </is>
      </c>
      <c r="Z6" s="2" t="inlineStr">
        <is>
          <t>Bonus</t>
        </is>
      </c>
      <c r="AA6" s="3" t="inlineStr">
        <is>
          <t>Other Pay</t>
        </is>
      </c>
      <c r="AB6" s="10" t="inlineStr">
        <is>
          <t>Vacation</t>
        </is>
      </c>
      <c r="AC6" s="43" t="inlineStr">
        <is>
          <t>Shop</t>
        </is>
      </c>
    </row>
    <row r="7">
      <c r="A7" t="inlineStr">
        <is>
          <t>Majestic Health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166.67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Majestic Health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7" sqref="A7"/>
    </sheetView>
  </sheetViews>
  <sheetFormatPr baseColWidth="8" defaultRowHeight="14.5"/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5" t="inlineStr">
        <is>
          <t>Batt&gt;10ft</t>
        </is>
      </c>
      <c r="C2" s="5" t="inlineStr">
        <is>
          <t>Batt&lt;10ft</t>
        </is>
      </c>
      <c r="D2" s="5" t="inlineStr">
        <is>
          <t>Soffit</t>
        </is>
      </c>
      <c r="E2" s="5" t="inlineStr">
        <is>
          <t>Caulk&amp;Foam</t>
        </is>
      </c>
      <c r="F2" s="5" t="inlineStr">
        <is>
          <t>Bonus</t>
        </is>
      </c>
      <c r="G2" s="5" t="inlineStr">
        <is>
          <t>Cellulose</t>
        </is>
      </c>
      <c r="H2" s="5" t="inlineStr">
        <is>
          <t xml:space="preserve">Other Pay </t>
        </is>
      </c>
      <c r="I2" s="5" t="inlineStr">
        <is>
          <t>BIBS</t>
        </is>
      </c>
      <c r="J2" s="5" t="inlineStr">
        <is>
          <t>R19</t>
        </is>
      </c>
      <c r="K2" s="5" t="inlineStr">
        <is>
          <t>R30</t>
        </is>
      </c>
      <c r="L2" s="5" t="inlineStr">
        <is>
          <t>R38/R40</t>
        </is>
      </c>
      <c r="M2" s="5" t="inlineStr">
        <is>
          <t>R49/R50</t>
        </is>
      </c>
      <c r="N2" s="5" t="inlineStr">
        <is>
          <t>Cellulose</t>
        </is>
      </c>
      <c r="O2" s="5" t="inlineStr">
        <is>
          <t>Soffit</t>
        </is>
      </c>
      <c r="P2" s="5" t="inlineStr">
        <is>
          <t>Bonus</t>
        </is>
      </c>
      <c r="Q2" s="5" t="inlineStr">
        <is>
          <t xml:space="preserve">Other Pay </t>
        </is>
      </c>
      <c r="R2" s="5" t="inlineStr">
        <is>
          <t>Air Seal</t>
        </is>
      </c>
      <c r="S2" s="5" t="inlineStr">
        <is>
          <t>CC 3/4"</t>
        </is>
      </c>
      <c r="T2" s="5" t="inlineStr">
        <is>
          <t>CC 1"</t>
        </is>
      </c>
      <c r="U2" s="5" t="inlineStr">
        <is>
          <t>CC 2"</t>
        </is>
      </c>
      <c r="V2" s="5" t="inlineStr">
        <is>
          <t>CC 3"</t>
        </is>
      </c>
      <c r="W2" s="5" t="inlineStr">
        <is>
          <t>OC 4"</t>
        </is>
      </c>
      <c r="X2" s="5" t="inlineStr">
        <is>
          <t>OC 6"</t>
        </is>
      </c>
      <c r="Y2" s="5" t="inlineStr">
        <is>
          <t>OC 8"</t>
        </is>
      </c>
      <c r="Z2" s="5" t="inlineStr">
        <is>
          <t>Bonus</t>
        </is>
      </c>
      <c r="AA2" s="6" t="inlineStr">
        <is>
          <t>Other Pay</t>
        </is>
      </c>
      <c r="AB2" s="7" t="inlineStr">
        <is>
          <t>Vacation</t>
        </is>
      </c>
      <c r="AC2" s="5" t="inlineStr">
        <is>
          <t>Shop</t>
        </is>
      </c>
    </row>
    <row r="3" ht="16" customHeight="1">
      <c r="A3" s="9" t="inlineStr">
        <is>
          <t>Totals:</t>
        </is>
      </c>
      <c r="B3" s="4">
        <f>SUM(B7:B50)</f>
        <v/>
      </c>
      <c r="C3" s="4">
        <f>SUM(C7:C50)</f>
        <v/>
      </c>
      <c r="D3" s="4">
        <f>SUM(D7:D50)</f>
        <v/>
      </c>
      <c r="E3" s="4">
        <f>SUM(E7:E50)</f>
        <v/>
      </c>
      <c r="F3" s="4">
        <f>SUM(F7:F50)</f>
        <v/>
      </c>
      <c r="G3" s="4">
        <f>SUM(G7:G50)</f>
        <v/>
      </c>
      <c r="H3" s="4">
        <f>SUM(H7:H50)</f>
        <v/>
      </c>
      <c r="I3" s="4">
        <f>SUM(I7:I50)</f>
        <v/>
      </c>
      <c r="J3" s="4">
        <f>SUM(J7:J50)</f>
        <v/>
      </c>
      <c r="K3" s="4">
        <f>SUM(K7:K50)</f>
        <v/>
      </c>
      <c r="L3" s="4">
        <f>SUM(L7:L50)</f>
        <v/>
      </c>
      <c r="M3" s="4">
        <f>SUM(M7:M50)</f>
        <v/>
      </c>
      <c r="N3" s="4">
        <f>SUM(N7:N50)</f>
        <v/>
      </c>
      <c r="O3" s="4">
        <f>SUM(O7:O50)</f>
        <v/>
      </c>
      <c r="P3" s="4">
        <f>SUM(P7:P50)</f>
        <v/>
      </c>
      <c r="Q3" s="4">
        <f>SUM(Q7:Q50)</f>
        <v/>
      </c>
      <c r="R3" s="4">
        <f>SUM(R7:R50)</f>
        <v/>
      </c>
      <c r="S3" s="4">
        <f>SUM(S7:S50)</f>
        <v/>
      </c>
      <c r="T3" s="4">
        <f>SUM(T7:T50)</f>
        <v/>
      </c>
      <c r="U3" s="4">
        <f>SUM(U7:U50)</f>
        <v/>
      </c>
      <c r="V3" s="4">
        <f>SUM(V7:V50)</f>
        <v/>
      </c>
      <c r="W3" s="4">
        <f>SUM(W7:W50)</f>
        <v/>
      </c>
      <c r="X3" s="4">
        <f>SUM(X7:X50)</f>
        <v/>
      </c>
      <c r="Y3" s="4">
        <f>SUM(Y7:Y50)</f>
        <v/>
      </c>
      <c r="Z3" s="4">
        <f>SUM(Z7:Z50)</f>
        <v/>
      </c>
      <c r="AA3" s="4">
        <f>SUM(AA7:AA50)</f>
        <v/>
      </c>
      <c r="AB3" s="4">
        <f>SUM(AB7:AB50)</f>
        <v/>
      </c>
      <c r="AC3" s="42">
        <f>SUM(AC7:AC750)</f>
        <v/>
      </c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6" customHeight="1">
      <c r="A5" s="1" t="n"/>
      <c r="B5" s="8" t="inlineStr">
        <is>
          <t>Batt Work</t>
        </is>
      </c>
      <c r="C5" s="1" t="n"/>
      <c r="D5" s="1" t="n"/>
      <c r="E5" s="1" t="n"/>
      <c r="F5" s="1" t="n"/>
      <c r="G5" s="1" t="n"/>
      <c r="H5" s="1" t="n"/>
      <c r="I5" s="1" t="n"/>
      <c r="J5" s="8" t="inlineStr">
        <is>
          <t>Attic Work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8" t="inlineStr">
        <is>
          <t>Foam Work</t>
        </is>
      </c>
      <c r="U5" s="1" t="n"/>
      <c r="V5" s="1" t="n"/>
      <c r="W5" s="1" t="n"/>
      <c r="X5" s="1" t="n"/>
      <c r="Y5" s="1" t="n"/>
      <c r="Z5" s="1" t="n"/>
      <c r="AA5" s="1" t="n"/>
      <c r="AB5" s="1" t="n"/>
    </row>
    <row r="6" ht="32" customHeight="1">
      <c r="A6" s="2" t="inlineStr">
        <is>
          <t>Job Name</t>
        </is>
      </c>
      <c r="B6" s="2" t="inlineStr">
        <is>
          <t>Batt&gt;10ft</t>
        </is>
      </c>
      <c r="C6" s="2" t="inlineStr">
        <is>
          <t>Batt&lt;10ft</t>
        </is>
      </c>
      <c r="D6" s="2" t="inlineStr">
        <is>
          <t>Soffit</t>
        </is>
      </c>
      <c r="E6" s="2" t="inlineStr">
        <is>
          <t>Caulk&amp;Foam</t>
        </is>
      </c>
      <c r="F6" s="2" t="inlineStr">
        <is>
          <t>Bonus</t>
        </is>
      </c>
      <c r="G6" s="2" t="inlineStr">
        <is>
          <t>Cellulose</t>
        </is>
      </c>
      <c r="H6" s="2" t="inlineStr">
        <is>
          <t xml:space="preserve">Other Pay </t>
        </is>
      </c>
      <c r="I6" s="2" t="inlineStr">
        <is>
          <t>BIBS</t>
        </is>
      </c>
      <c r="J6" s="2" t="inlineStr">
        <is>
          <t>R19</t>
        </is>
      </c>
      <c r="K6" s="2" t="inlineStr">
        <is>
          <t>R30</t>
        </is>
      </c>
      <c r="L6" s="2" t="inlineStr">
        <is>
          <t>R38/R40</t>
        </is>
      </c>
      <c r="M6" s="2" t="inlineStr">
        <is>
          <t>R49/R50</t>
        </is>
      </c>
      <c r="N6" s="2" t="inlineStr">
        <is>
          <t>Cellulose</t>
        </is>
      </c>
      <c r="O6" s="2" t="inlineStr">
        <is>
          <t>Soffit</t>
        </is>
      </c>
      <c r="P6" s="2" t="inlineStr">
        <is>
          <t>Bonus</t>
        </is>
      </c>
      <c r="Q6" s="2" t="inlineStr">
        <is>
          <t xml:space="preserve">Other Pay </t>
        </is>
      </c>
      <c r="R6" s="2" t="inlineStr">
        <is>
          <t>Air Seal</t>
        </is>
      </c>
      <c r="S6" s="2" t="inlineStr">
        <is>
          <t>CC 3/4"</t>
        </is>
      </c>
      <c r="T6" s="2" t="inlineStr">
        <is>
          <t>CC 1"</t>
        </is>
      </c>
      <c r="U6" s="2" t="inlineStr">
        <is>
          <t>CC 2"</t>
        </is>
      </c>
      <c r="V6" s="2" t="inlineStr">
        <is>
          <t>CC 3"</t>
        </is>
      </c>
      <c r="W6" s="2" t="inlineStr">
        <is>
          <t>OC 4"</t>
        </is>
      </c>
      <c r="X6" s="2" t="inlineStr">
        <is>
          <t>OC 6"</t>
        </is>
      </c>
      <c r="Y6" s="2" t="inlineStr">
        <is>
          <t>OC 8"</t>
        </is>
      </c>
      <c r="Z6" s="2" t="inlineStr">
        <is>
          <t>Bonus</t>
        </is>
      </c>
      <c r="AA6" s="3" t="inlineStr">
        <is>
          <t>Other Pay</t>
        </is>
      </c>
      <c r="AB6" s="10" t="inlineStr">
        <is>
          <t>Vacation</t>
        </is>
      </c>
      <c r="AC6" s="43" t="inlineStr">
        <is>
          <t>Shop</t>
        </is>
      </c>
    </row>
    <row r="7">
      <c r="A7" t="inlineStr">
        <is>
          <t>Sunday010826085635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7" sqref="A7"/>
    </sheetView>
  </sheetViews>
  <sheetFormatPr baseColWidth="8" defaultRowHeight="14.5"/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5" t="inlineStr">
        <is>
          <t>Batt&gt;10ft</t>
        </is>
      </c>
      <c r="C2" s="5" t="inlineStr">
        <is>
          <t>Batt&lt;10ft</t>
        </is>
      </c>
      <c r="D2" s="5" t="inlineStr">
        <is>
          <t>Soffit</t>
        </is>
      </c>
      <c r="E2" s="5" t="inlineStr">
        <is>
          <t>Caulk&amp;Foam</t>
        </is>
      </c>
      <c r="F2" s="5" t="inlineStr">
        <is>
          <t>Bonus</t>
        </is>
      </c>
      <c r="G2" s="5" t="inlineStr">
        <is>
          <t>Cellulose</t>
        </is>
      </c>
      <c r="H2" s="5" t="inlineStr">
        <is>
          <t xml:space="preserve">Other Pay </t>
        </is>
      </c>
      <c r="I2" s="5" t="inlineStr">
        <is>
          <t>BIBS</t>
        </is>
      </c>
      <c r="J2" s="5" t="inlineStr">
        <is>
          <t>R19</t>
        </is>
      </c>
      <c r="K2" s="5" t="inlineStr">
        <is>
          <t>R30</t>
        </is>
      </c>
      <c r="L2" s="5" t="inlineStr">
        <is>
          <t>R38/R40</t>
        </is>
      </c>
      <c r="M2" s="5" t="inlineStr">
        <is>
          <t>R49/R50</t>
        </is>
      </c>
      <c r="N2" s="5" t="inlineStr">
        <is>
          <t>Cellulose</t>
        </is>
      </c>
      <c r="O2" s="5" t="inlineStr">
        <is>
          <t>Soffit</t>
        </is>
      </c>
      <c r="P2" s="5" t="inlineStr">
        <is>
          <t>Bonus</t>
        </is>
      </c>
      <c r="Q2" s="5" t="inlineStr">
        <is>
          <t xml:space="preserve">Other Pay </t>
        </is>
      </c>
      <c r="R2" s="5" t="inlineStr">
        <is>
          <t>Air Seal</t>
        </is>
      </c>
      <c r="S2" s="5" t="inlineStr">
        <is>
          <t>CC 3/4"</t>
        </is>
      </c>
      <c r="T2" s="5" t="inlineStr">
        <is>
          <t>CC 1"</t>
        </is>
      </c>
      <c r="U2" s="5" t="inlineStr">
        <is>
          <t>CC 2"</t>
        </is>
      </c>
      <c r="V2" s="5" t="inlineStr">
        <is>
          <t>CC 3"</t>
        </is>
      </c>
      <c r="W2" s="5" t="inlineStr">
        <is>
          <t>OC 4"</t>
        </is>
      </c>
      <c r="X2" s="5" t="inlineStr">
        <is>
          <t>OC 6"</t>
        </is>
      </c>
      <c r="Y2" s="5" t="inlineStr">
        <is>
          <t>OC 8"</t>
        </is>
      </c>
      <c r="Z2" s="5" t="inlineStr">
        <is>
          <t>Bonus</t>
        </is>
      </c>
      <c r="AA2" s="6" t="inlineStr">
        <is>
          <t>Other Pay</t>
        </is>
      </c>
      <c r="AB2" s="7" t="inlineStr">
        <is>
          <t>Vacation</t>
        </is>
      </c>
      <c r="AC2" s="5" t="inlineStr">
        <is>
          <t>Shop</t>
        </is>
      </c>
    </row>
    <row r="3" ht="16" customHeight="1">
      <c r="A3" s="9" t="inlineStr">
        <is>
          <t>Totals:</t>
        </is>
      </c>
      <c r="B3" s="4">
        <f>SUM(B7:B50)</f>
        <v/>
      </c>
      <c r="C3" s="4">
        <f>SUM(C7:C50)</f>
        <v/>
      </c>
      <c r="D3" s="4">
        <f>SUM(D7:D50)</f>
        <v/>
      </c>
      <c r="E3" s="4">
        <f>SUM(E7:E50)</f>
        <v/>
      </c>
      <c r="F3" s="4">
        <f>SUM(F7:F50)</f>
        <v/>
      </c>
      <c r="G3" s="4">
        <f>SUM(G7:G50)</f>
        <v/>
      </c>
      <c r="H3" s="4">
        <f>SUM(H7:H50)</f>
        <v/>
      </c>
      <c r="I3" s="4">
        <f>SUM(I7:I50)</f>
        <v/>
      </c>
      <c r="J3" s="4">
        <f>SUM(J7:J50)</f>
        <v/>
      </c>
      <c r="K3" s="4">
        <f>SUM(K7:K50)</f>
        <v/>
      </c>
      <c r="L3" s="4">
        <f>SUM(L7:L50)</f>
        <v/>
      </c>
      <c r="M3" s="4">
        <f>SUM(M7:M50)</f>
        <v/>
      </c>
      <c r="N3" s="4">
        <f>SUM(N7:N50)</f>
        <v/>
      </c>
      <c r="O3" s="4">
        <f>SUM(O7:O50)</f>
        <v/>
      </c>
      <c r="P3" s="4">
        <f>SUM(P7:P50)</f>
        <v/>
      </c>
      <c r="Q3" s="4">
        <f>SUM(Q7:Q50)</f>
        <v/>
      </c>
      <c r="R3" s="4">
        <f>SUM(R7:R50)</f>
        <v/>
      </c>
      <c r="S3" s="4">
        <f>SUM(S7:S50)</f>
        <v/>
      </c>
      <c r="T3" s="4">
        <f>SUM(T7:T50)</f>
        <v/>
      </c>
      <c r="U3" s="4">
        <f>SUM(U7:U50)</f>
        <v/>
      </c>
      <c r="V3" s="4">
        <f>SUM(V7:V50)</f>
        <v/>
      </c>
      <c r="W3" s="4">
        <f>SUM(W7:W50)</f>
        <v/>
      </c>
      <c r="X3" s="4">
        <f>SUM(X7:X50)</f>
        <v/>
      </c>
      <c r="Y3" s="4">
        <f>SUM(Y7:Y50)</f>
        <v/>
      </c>
      <c r="Z3" s="4">
        <f>SUM(Z7:Z50)</f>
        <v/>
      </c>
      <c r="AA3" s="4">
        <f>SUM(AA7:AA50)</f>
        <v/>
      </c>
      <c r="AB3" s="4">
        <f>SUM(AB7:AB50)</f>
        <v/>
      </c>
      <c r="AC3" s="42">
        <f>SUM(AC7:AC750)</f>
        <v/>
      </c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6" customHeight="1">
      <c r="A5" s="1" t="n"/>
      <c r="B5" s="8" t="inlineStr">
        <is>
          <t>Batt Work</t>
        </is>
      </c>
      <c r="C5" s="1" t="n"/>
      <c r="D5" s="1" t="n"/>
      <c r="E5" s="1" t="n"/>
      <c r="F5" s="1" t="n"/>
      <c r="G5" s="1" t="n"/>
      <c r="H5" s="1" t="n"/>
      <c r="I5" s="1" t="n"/>
      <c r="J5" s="8" t="inlineStr">
        <is>
          <t>Attic Work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8" t="inlineStr">
        <is>
          <t>Foam Work</t>
        </is>
      </c>
      <c r="U5" s="1" t="n"/>
      <c r="V5" s="1" t="n"/>
      <c r="W5" s="1" t="n"/>
      <c r="X5" s="1" t="n"/>
      <c r="Y5" s="1" t="n"/>
      <c r="Z5" s="1" t="n"/>
      <c r="AA5" s="1" t="n"/>
      <c r="AB5" s="1" t="n"/>
    </row>
    <row r="6" ht="32" customHeight="1">
      <c r="A6" s="2" t="inlineStr">
        <is>
          <t>Job Name</t>
        </is>
      </c>
      <c r="B6" s="2" t="inlineStr">
        <is>
          <t>Batt&gt;10ft</t>
        </is>
      </c>
      <c r="C6" s="2" t="inlineStr">
        <is>
          <t>Batt&lt;10ft</t>
        </is>
      </c>
      <c r="D6" s="2" t="inlineStr">
        <is>
          <t>Soffit</t>
        </is>
      </c>
      <c r="E6" s="2" t="inlineStr">
        <is>
          <t>Caulk&amp;Foam</t>
        </is>
      </c>
      <c r="F6" s="2" t="inlineStr">
        <is>
          <t>Bonus</t>
        </is>
      </c>
      <c r="G6" s="2" t="inlineStr">
        <is>
          <t>Cellulose</t>
        </is>
      </c>
      <c r="H6" s="2" t="inlineStr">
        <is>
          <t xml:space="preserve">Other Pay </t>
        </is>
      </c>
      <c r="I6" s="2" t="inlineStr">
        <is>
          <t>BIBS</t>
        </is>
      </c>
      <c r="J6" s="2" t="inlineStr">
        <is>
          <t>R19</t>
        </is>
      </c>
      <c r="K6" s="2" t="inlineStr">
        <is>
          <t>R30</t>
        </is>
      </c>
      <c r="L6" s="2" t="inlineStr">
        <is>
          <t>R38/R40</t>
        </is>
      </c>
      <c r="M6" s="2" t="inlineStr">
        <is>
          <t>R49/R50</t>
        </is>
      </c>
      <c r="N6" s="2" t="inlineStr">
        <is>
          <t>Cellulose</t>
        </is>
      </c>
      <c r="O6" s="2" t="inlineStr">
        <is>
          <t>Soffit</t>
        </is>
      </c>
      <c r="P6" s="2" t="inlineStr">
        <is>
          <t>Bonus</t>
        </is>
      </c>
      <c r="Q6" s="2" t="inlineStr">
        <is>
          <t xml:space="preserve">Other Pay </t>
        </is>
      </c>
      <c r="R6" s="2" t="inlineStr">
        <is>
          <t>Air Seal</t>
        </is>
      </c>
      <c r="S6" s="2" t="inlineStr">
        <is>
          <t>CC 3/4"</t>
        </is>
      </c>
      <c r="T6" s="2" t="inlineStr">
        <is>
          <t>CC 1"</t>
        </is>
      </c>
      <c r="U6" s="2" t="inlineStr">
        <is>
          <t>CC 2"</t>
        </is>
      </c>
      <c r="V6" s="2" t="inlineStr">
        <is>
          <t>CC 3"</t>
        </is>
      </c>
      <c r="W6" s="2" t="inlineStr">
        <is>
          <t>OC 4"</t>
        </is>
      </c>
      <c r="X6" s="2" t="inlineStr">
        <is>
          <t>OC 6"</t>
        </is>
      </c>
      <c r="Y6" s="2" t="inlineStr">
        <is>
          <t>OC 8"</t>
        </is>
      </c>
      <c r="Z6" s="2" t="inlineStr">
        <is>
          <t>Bonus</t>
        </is>
      </c>
      <c r="AA6" s="3" t="inlineStr">
        <is>
          <t>Other Pay</t>
        </is>
      </c>
      <c r="AB6" s="10" t="inlineStr">
        <is>
          <t>Vacation</t>
        </is>
      </c>
      <c r="AC6" s="43" t="inlineStr">
        <is>
          <t>Shop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7" sqref="A7"/>
    </sheetView>
  </sheetViews>
  <sheetFormatPr baseColWidth="8" defaultRowHeight="14.5"/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5" t="inlineStr">
        <is>
          <t>Batt&gt;10ft</t>
        </is>
      </c>
      <c r="C2" s="5" t="inlineStr">
        <is>
          <t>Batt&lt;10ft</t>
        </is>
      </c>
      <c r="D2" s="5" t="inlineStr">
        <is>
          <t>Soffit</t>
        </is>
      </c>
      <c r="E2" s="5" t="inlineStr">
        <is>
          <t>Caulk&amp;Foam</t>
        </is>
      </c>
      <c r="F2" s="5" t="inlineStr">
        <is>
          <t>Bonus</t>
        </is>
      </c>
      <c r="G2" s="5" t="inlineStr">
        <is>
          <t>Cellulose</t>
        </is>
      </c>
      <c r="H2" s="5" t="inlineStr">
        <is>
          <t xml:space="preserve">Other Pay </t>
        </is>
      </c>
      <c r="I2" s="5" t="inlineStr">
        <is>
          <t>BIBS</t>
        </is>
      </c>
      <c r="J2" s="5" t="inlineStr">
        <is>
          <t>R19</t>
        </is>
      </c>
      <c r="K2" s="5" t="inlineStr">
        <is>
          <t>R30</t>
        </is>
      </c>
      <c r="L2" s="5" t="inlineStr">
        <is>
          <t>R38/R40</t>
        </is>
      </c>
      <c r="M2" s="5" t="inlineStr">
        <is>
          <t>R49/R50</t>
        </is>
      </c>
      <c r="N2" s="5" t="inlineStr">
        <is>
          <t>Cellulose</t>
        </is>
      </c>
      <c r="O2" s="5" t="inlineStr">
        <is>
          <t>Soffit</t>
        </is>
      </c>
      <c r="P2" s="5" t="inlineStr">
        <is>
          <t>Bonus</t>
        </is>
      </c>
      <c r="Q2" s="5" t="inlineStr">
        <is>
          <t xml:space="preserve">Other Pay </t>
        </is>
      </c>
      <c r="R2" s="5" t="inlineStr">
        <is>
          <t>Air Seal</t>
        </is>
      </c>
      <c r="S2" s="5" t="inlineStr">
        <is>
          <t>CC 3/4"</t>
        </is>
      </c>
      <c r="T2" s="5" t="inlineStr">
        <is>
          <t>CC 1"</t>
        </is>
      </c>
      <c r="U2" s="5" t="inlineStr">
        <is>
          <t>CC 2"</t>
        </is>
      </c>
      <c r="V2" s="5" t="inlineStr">
        <is>
          <t>CC 3"</t>
        </is>
      </c>
      <c r="W2" s="5" t="inlineStr">
        <is>
          <t>OC 4"</t>
        </is>
      </c>
      <c r="X2" s="5" t="inlineStr">
        <is>
          <t>OC 6"</t>
        </is>
      </c>
      <c r="Y2" s="5" t="inlineStr">
        <is>
          <t>OC 8"</t>
        </is>
      </c>
      <c r="Z2" s="5" t="inlineStr">
        <is>
          <t>Bonus</t>
        </is>
      </c>
      <c r="AA2" s="6" t="inlineStr">
        <is>
          <t>Other Pay</t>
        </is>
      </c>
      <c r="AB2" s="7" t="inlineStr">
        <is>
          <t>Vacation</t>
        </is>
      </c>
      <c r="AC2" s="5" t="inlineStr">
        <is>
          <t>Shop</t>
        </is>
      </c>
    </row>
    <row r="3" ht="16" customHeight="1">
      <c r="A3" s="9" t="inlineStr">
        <is>
          <t>Totals:</t>
        </is>
      </c>
      <c r="B3" s="4">
        <f>SUM(B7:B50)</f>
        <v/>
      </c>
      <c r="C3" s="4">
        <f>SUM(C7:C50)</f>
        <v/>
      </c>
      <c r="D3" s="4">
        <f>SUM(D7:D50)</f>
        <v/>
      </c>
      <c r="E3" s="4">
        <f>SUM(E7:E50)</f>
        <v/>
      </c>
      <c r="F3" s="4">
        <f>SUM(F7:F50)</f>
        <v/>
      </c>
      <c r="G3" s="4">
        <f>SUM(G7:G50)</f>
        <v/>
      </c>
      <c r="H3" s="4">
        <f>SUM(H7:H50)</f>
        <v/>
      </c>
      <c r="I3" s="4">
        <f>SUM(I7:I50)</f>
        <v/>
      </c>
      <c r="J3" s="4">
        <f>SUM(J7:J50)</f>
        <v/>
      </c>
      <c r="K3" s="4">
        <f>SUM(K7:K50)</f>
        <v/>
      </c>
      <c r="L3" s="4">
        <f>SUM(L7:L50)</f>
        <v/>
      </c>
      <c r="M3" s="4">
        <f>SUM(M7:M50)</f>
        <v/>
      </c>
      <c r="N3" s="4">
        <f>SUM(N7:N50)</f>
        <v/>
      </c>
      <c r="O3" s="4">
        <f>SUM(O7:O50)</f>
        <v/>
      </c>
      <c r="P3" s="4">
        <f>SUM(P7:P50)</f>
        <v/>
      </c>
      <c r="Q3" s="4">
        <f>SUM(Q7:Q50)</f>
        <v/>
      </c>
      <c r="R3" s="4">
        <f>SUM(R7:R50)</f>
        <v/>
      </c>
      <c r="S3" s="4">
        <f>SUM(S7:S50)</f>
        <v/>
      </c>
      <c r="T3" s="4">
        <f>SUM(T7:T50)</f>
        <v/>
      </c>
      <c r="U3" s="4">
        <f>SUM(U7:U50)</f>
        <v/>
      </c>
      <c r="V3" s="4">
        <f>SUM(V7:V50)</f>
        <v/>
      </c>
      <c r="W3" s="4">
        <f>SUM(W7:W50)</f>
        <v/>
      </c>
      <c r="X3" s="4">
        <f>SUM(X7:X50)</f>
        <v/>
      </c>
      <c r="Y3" s="4">
        <f>SUM(Y7:Y50)</f>
        <v/>
      </c>
      <c r="Z3" s="4">
        <f>SUM(Z7:Z50)</f>
        <v/>
      </c>
      <c r="AA3" s="4">
        <f>SUM(AA7:AA50)</f>
        <v/>
      </c>
      <c r="AB3" s="4">
        <f>SUM(AB7:AB50)</f>
        <v/>
      </c>
      <c r="AC3" s="42">
        <f>SUM(AC7:AC750)</f>
        <v/>
      </c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6" customHeight="1">
      <c r="A5" s="1" t="n"/>
      <c r="B5" s="8" t="inlineStr">
        <is>
          <t>Batt Work</t>
        </is>
      </c>
      <c r="C5" s="1" t="n"/>
      <c r="D5" s="1" t="n"/>
      <c r="E5" s="1" t="n"/>
      <c r="F5" s="1" t="n"/>
      <c r="G5" s="1" t="n"/>
      <c r="H5" s="1" t="n"/>
      <c r="I5" s="1" t="n"/>
      <c r="J5" s="8" t="inlineStr">
        <is>
          <t>Attic Work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8" t="inlineStr">
        <is>
          <t>Foam Work</t>
        </is>
      </c>
      <c r="U5" s="1" t="n"/>
      <c r="V5" s="1" t="n"/>
      <c r="W5" s="1" t="n"/>
      <c r="X5" s="1" t="n"/>
      <c r="Y5" s="1" t="n"/>
      <c r="Z5" s="1" t="n"/>
      <c r="AA5" s="1" t="n"/>
      <c r="AB5" s="1" t="n"/>
    </row>
    <row r="6" ht="32" customHeight="1">
      <c r="A6" s="2" t="inlineStr">
        <is>
          <t>Job Name</t>
        </is>
      </c>
      <c r="B6" s="2" t="inlineStr">
        <is>
          <t>Batt&gt;10ft</t>
        </is>
      </c>
      <c r="C6" s="2" t="inlineStr">
        <is>
          <t>Batt&lt;10ft</t>
        </is>
      </c>
      <c r="D6" s="2" t="inlineStr">
        <is>
          <t>Soffit</t>
        </is>
      </c>
      <c r="E6" s="2" t="inlineStr">
        <is>
          <t>Caulk&amp;Foam</t>
        </is>
      </c>
      <c r="F6" s="2" t="inlineStr">
        <is>
          <t>Bonus</t>
        </is>
      </c>
      <c r="G6" s="2" t="inlineStr">
        <is>
          <t>Cellulose</t>
        </is>
      </c>
      <c r="H6" s="2" t="inlineStr">
        <is>
          <t xml:space="preserve">Other Pay </t>
        </is>
      </c>
      <c r="I6" s="2" t="inlineStr">
        <is>
          <t>BIBS</t>
        </is>
      </c>
      <c r="J6" s="2" t="inlineStr">
        <is>
          <t>R19</t>
        </is>
      </c>
      <c r="K6" s="2" t="inlineStr">
        <is>
          <t>R30</t>
        </is>
      </c>
      <c r="L6" s="2" t="inlineStr">
        <is>
          <t>R38/R40</t>
        </is>
      </c>
      <c r="M6" s="2" t="inlineStr">
        <is>
          <t>R49/R50</t>
        </is>
      </c>
      <c r="N6" s="2" t="inlineStr">
        <is>
          <t>Cellulose</t>
        </is>
      </c>
      <c r="O6" s="2" t="inlineStr">
        <is>
          <t>Soffit</t>
        </is>
      </c>
      <c r="P6" s="2" t="inlineStr">
        <is>
          <t>Bonus</t>
        </is>
      </c>
      <c r="Q6" s="2" t="inlineStr">
        <is>
          <t xml:space="preserve">Other Pay </t>
        </is>
      </c>
      <c r="R6" s="2" t="inlineStr">
        <is>
          <t>Air Seal</t>
        </is>
      </c>
      <c r="S6" s="2" t="inlineStr">
        <is>
          <t>CC 3/4"</t>
        </is>
      </c>
      <c r="T6" s="2" t="inlineStr">
        <is>
          <t>CC 1"</t>
        </is>
      </c>
      <c r="U6" s="2" t="inlineStr">
        <is>
          <t>CC 2"</t>
        </is>
      </c>
      <c r="V6" s="2" t="inlineStr">
        <is>
          <t>CC 3"</t>
        </is>
      </c>
      <c r="W6" s="2" t="inlineStr">
        <is>
          <t>OC 4"</t>
        </is>
      </c>
      <c r="X6" s="2" t="inlineStr">
        <is>
          <t>OC 6"</t>
        </is>
      </c>
      <c r="Y6" s="2" t="inlineStr">
        <is>
          <t>OC 8"</t>
        </is>
      </c>
      <c r="Z6" s="2" t="inlineStr">
        <is>
          <t>Bonus</t>
        </is>
      </c>
      <c r="AA6" s="3" t="inlineStr">
        <is>
          <t>Other Pay</t>
        </is>
      </c>
      <c r="AB6" s="10" t="inlineStr">
        <is>
          <t>Vacation</t>
        </is>
      </c>
      <c r="AC6" s="43" t="inlineStr">
        <is>
          <t>Shop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7" sqref="A7"/>
    </sheetView>
  </sheetViews>
  <sheetFormatPr baseColWidth="8" defaultRowHeight="14.5"/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5" t="inlineStr">
        <is>
          <t>Batt&gt;10ft</t>
        </is>
      </c>
      <c r="C2" s="5" t="inlineStr">
        <is>
          <t>Batt&lt;10ft</t>
        </is>
      </c>
      <c r="D2" s="5" t="inlineStr">
        <is>
          <t>Soffit</t>
        </is>
      </c>
      <c r="E2" s="5" t="inlineStr">
        <is>
          <t>Caulk&amp;Foam</t>
        </is>
      </c>
      <c r="F2" s="5" t="inlineStr">
        <is>
          <t>Bonus</t>
        </is>
      </c>
      <c r="G2" s="5" t="inlineStr">
        <is>
          <t>Cellulose</t>
        </is>
      </c>
      <c r="H2" s="5" t="inlineStr">
        <is>
          <t xml:space="preserve">Other Pay </t>
        </is>
      </c>
      <c r="I2" s="5" t="inlineStr">
        <is>
          <t>BIBS</t>
        </is>
      </c>
      <c r="J2" s="5" t="inlineStr">
        <is>
          <t>R19</t>
        </is>
      </c>
      <c r="K2" s="5" t="inlineStr">
        <is>
          <t>R30</t>
        </is>
      </c>
      <c r="L2" s="5" t="inlineStr">
        <is>
          <t>R38/R40</t>
        </is>
      </c>
      <c r="M2" s="5" t="inlineStr">
        <is>
          <t>R49/R50</t>
        </is>
      </c>
      <c r="N2" s="5" t="inlineStr">
        <is>
          <t>Cellulose</t>
        </is>
      </c>
      <c r="O2" s="5" t="inlineStr">
        <is>
          <t>Soffit</t>
        </is>
      </c>
      <c r="P2" s="5" t="inlineStr">
        <is>
          <t>Bonus</t>
        </is>
      </c>
      <c r="Q2" s="5" t="inlineStr">
        <is>
          <t xml:space="preserve">Other Pay </t>
        </is>
      </c>
      <c r="R2" s="5" t="inlineStr">
        <is>
          <t>Air Seal</t>
        </is>
      </c>
      <c r="S2" s="5" t="inlineStr">
        <is>
          <t>CC 3/4"</t>
        </is>
      </c>
      <c r="T2" s="5" t="inlineStr">
        <is>
          <t>CC 1"</t>
        </is>
      </c>
      <c r="U2" s="5" t="inlineStr">
        <is>
          <t>CC 2"</t>
        </is>
      </c>
      <c r="V2" s="5" t="inlineStr">
        <is>
          <t>CC 3"</t>
        </is>
      </c>
      <c r="W2" s="5" t="inlineStr">
        <is>
          <t>OC 4"</t>
        </is>
      </c>
      <c r="X2" s="5" t="inlineStr">
        <is>
          <t>OC 6"</t>
        </is>
      </c>
      <c r="Y2" s="5" t="inlineStr">
        <is>
          <t>OC 8"</t>
        </is>
      </c>
      <c r="Z2" s="5" t="inlineStr">
        <is>
          <t>Bonus</t>
        </is>
      </c>
      <c r="AA2" s="6" t="inlineStr">
        <is>
          <t>Other Pay</t>
        </is>
      </c>
      <c r="AB2" s="7" t="inlineStr">
        <is>
          <t>Vacation</t>
        </is>
      </c>
      <c r="AC2" s="5" t="inlineStr">
        <is>
          <t>Shop</t>
        </is>
      </c>
    </row>
    <row r="3" ht="16" customHeight="1">
      <c r="A3" s="9" t="inlineStr">
        <is>
          <t>Totals:</t>
        </is>
      </c>
      <c r="B3" s="4">
        <f>SUM(B7:B50)</f>
        <v/>
      </c>
      <c r="C3" s="4">
        <f>SUM(C7:C50)</f>
        <v/>
      </c>
      <c r="D3" s="4">
        <f>SUM(D7:D50)</f>
        <v/>
      </c>
      <c r="E3" s="4">
        <f>SUM(E7:E50)</f>
        <v/>
      </c>
      <c r="F3" s="4">
        <f>SUM(F7:F50)</f>
        <v/>
      </c>
      <c r="G3" s="4">
        <f>SUM(G7:G50)</f>
        <v/>
      </c>
      <c r="H3" s="4">
        <f>SUM(H7:H50)</f>
        <v/>
      </c>
      <c r="I3" s="4">
        <f>SUM(I7:I50)</f>
        <v/>
      </c>
      <c r="J3" s="4">
        <f>SUM(J7:J50)</f>
        <v/>
      </c>
      <c r="K3" s="4">
        <f>SUM(K7:K50)</f>
        <v/>
      </c>
      <c r="L3" s="4">
        <f>SUM(L7:L50)</f>
        <v/>
      </c>
      <c r="M3" s="4">
        <f>SUM(M7:M50)</f>
        <v/>
      </c>
      <c r="N3" s="4">
        <f>SUM(N7:N50)</f>
        <v/>
      </c>
      <c r="O3" s="4">
        <f>SUM(O7:O50)</f>
        <v/>
      </c>
      <c r="P3" s="4">
        <f>SUM(P7:P50)</f>
        <v/>
      </c>
      <c r="Q3" s="4">
        <f>SUM(Q7:Q50)</f>
        <v/>
      </c>
      <c r="R3" s="4">
        <f>SUM(R7:R50)</f>
        <v/>
      </c>
      <c r="S3" s="4">
        <f>SUM(S7:S50)</f>
        <v/>
      </c>
      <c r="T3" s="4">
        <f>SUM(T7:T50)</f>
        <v/>
      </c>
      <c r="U3" s="4">
        <f>SUM(U7:U50)</f>
        <v/>
      </c>
      <c r="V3" s="4">
        <f>SUM(V7:V50)</f>
        <v/>
      </c>
      <c r="W3" s="4">
        <f>SUM(W7:W50)</f>
        <v/>
      </c>
      <c r="X3" s="4">
        <f>SUM(X7:X50)</f>
        <v/>
      </c>
      <c r="Y3" s="4">
        <f>SUM(Y7:Y50)</f>
        <v/>
      </c>
      <c r="Z3" s="4">
        <f>SUM(Z7:Z50)</f>
        <v/>
      </c>
      <c r="AA3" s="4">
        <f>SUM(AA7:AA50)</f>
        <v/>
      </c>
      <c r="AB3" s="4">
        <f>SUM(AB7:AB50)</f>
        <v/>
      </c>
      <c r="AC3" s="42">
        <f>SUM(AC7:AC750)</f>
        <v/>
      </c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6" customHeight="1">
      <c r="A5" s="1" t="n"/>
      <c r="B5" s="8" t="inlineStr">
        <is>
          <t>Batt Work</t>
        </is>
      </c>
      <c r="C5" s="1" t="n"/>
      <c r="D5" s="1" t="n"/>
      <c r="E5" s="1" t="n"/>
      <c r="F5" s="1" t="n"/>
      <c r="G5" s="1" t="n"/>
      <c r="H5" s="1" t="n"/>
      <c r="I5" s="1" t="n"/>
      <c r="J5" s="8" t="inlineStr">
        <is>
          <t>Attic Work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8" t="inlineStr">
        <is>
          <t>Foam Work</t>
        </is>
      </c>
      <c r="U5" s="1" t="n"/>
      <c r="V5" s="1" t="n"/>
      <c r="W5" s="1" t="n"/>
      <c r="X5" s="1" t="n"/>
      <c r="Y5" s="1" t="n"/>
      <c r="Z5" s="1" t="n"/>
      <c r="AA5" s="1" t="n"/>
      <c r="AB5" s="1" t="n"/>
    </row>
    <row r="6" ht="32" customHeight="1">
      <c r="A6" s="2" t="inlineStr">
        <is>
          <t>Job Name</t>
        </is>
      </c>
      <c r="B6" s="2" t="inlineStr">
        <is>
          <t>Batt&gt;10ft</t>
        </is>
      </c>
      <c r="C6" s="2" t="inlineStr">
        <is>
          <t>Batt&lt;10ft</t>
        </is>
      </c>
      <c r="D6" s="2" t="inlineStr">
        <is>
          <t>Soffit</t>
        </is>
      </c>
      <c r="E6" s="2" t="inlineStr">
        <is>
          <t>Caulk&amp;Foam</t>
        </is>
      </c>
      <c r="F6" s="2" t="inlineStr">
        <is>
          <t>Bonus</t>
        </is>
      </c>
      <c r="G6" s="2" t="inlineStr">
        <is>
          <t>Cellulose</t>
        </is>
      </c>
      <c r="H6" s="2" t="inlineStr">
        <is>
          <t xml:space="preserve">Other Pay </t>
        </is>
      </c>
      <c r="I6" s="2" t="inlineStr">
        <is>
          <t>BIBS</t>
        </is>
      </c>
      <c r="J6" s="2" t="inlineStr">
        <is>
          <t>R19</t>
        </is>
      </c>
      <c r="K6" s="2" t="inlineStr">
        <is>
          <t>R30</t>
        </is>
      </c>
      <c r="L6" s="2" t="inlineStr">
        <is>
          <t>R38/R40</t>
        </is>
      </c>
      <c r="M6" s="2" t="inlineStr">
        <is>
          <t>R49/R50</t>
        </is>
      </c>
      <c r="N6" s="2" t="inlineStr">
        <is>
          <t>Cellulose</t>
        </is>
      </c>
      <c r="O6" s="2" t="inlineStr">
        <is>
          <t>Soffit</t>
        </is>
      </c>
      <c r="P6" s="2" t="inlineStr">
        <is>
          <t>Bonus</t>
        </is>
      </c>
      <c r="Q6" s="2" t="inlineStr">
        <is>
          <t xml:space="preserve">Other Pay </t>
        </is>
      </c>
      <c r="R6" s="2" t="inlineStr">
        <is>
          <t>Air Seal</t>
        </is>
      </c>
      <c r="S6" s="2" t="inlineStr">
        <is>
          <t>CC 3/4"</t>
        </is>
      </c>
      <c r="T6" s="2" t="inlineStr">
        <is>
          <t>CC 1"</t>
        </is>
      </c>
      <c r="U6" s="2" t="inlineStr">
        <is>
          <t>CC 2"</t>
        </is>
      </c>
      <c r="V6" s="2" t="inlineStr">
        <is>
          <t>CC 3"</t>
        </is>
      </c>
      <c r="W6" s="2" t="inlineStr">
        <is>
          <t>OC 4"</t>
        </is>
      </c>
      <c r="X6" s="2" t="inlineStr">
        <is>
          <t>OC 6"</t>
        </is>
      </c>
      <c r="Y6" s="2" t="inlineStr">
        <is>
          <t>OC 8"</t>
        </is>
      </c>
      <c r="Z6" s="2" t="inlineStr">
        <is>
          <t>Bonus</t>
        </is>
      </c>
      <c r="AA6" s="3" t="inlineStr">
        <is>
          <t>Other Pay</t>
        </is>
      </c>
      <c r="AB6" s="10" t="inlineStr">
        <is>
          <t>Vacation</t>
        </is>
      </c>
      <c r="AC6" s="43" t="inlineStr">
        <is>
          <t>Shop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7" sqref="A7"/>
    </sheetView>
  </sheetViews>
  <sheetFormatPr baseColWidth="8" defaultRowHeight="14.5"/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5" t="inlineStr">
        <is>
          <t>Batt&gt;10ft</t>
        </is>
      </c>
      <c r="C2" s="5" t="inlineStr">
        <is>
          <t>Batt&lt;10ft</t>
        </is>
      </c>
      <c r="D2" s="5" t="inlineStr">
        <is>
          <t>Soffit</t>
        </is>
      </c>
      <c r="E2" s="5" t="inlineStr">
        <is>
          <t>Caulk&amp;Foam</t>
        </is>
      </c>
      <c r="F2" s="5" t="inlineStr">
        <is>
          <t>Bonus</t>
        </is>
      </c>
      <c r="G2" s="5" t="inlineStr">
        <is>
          <t>Cellulose</t>
        </is>
      </c>
      <c r="H2" s="5" t="inlineStr">
        <is>
          <t xml:space="preserve">Other Pay </t>
        </is>
      </c>
      <c r="I2" s="5" t="inlineStr">
        <is>
          <t>BIBS</t>
        </is>
      </c>
      <c r="J2" s="5" t="inlineStr">
        <is>
          <t>R19</t>
        </is>
      </c>
      <c r="K2" s="5" t="inlineStr">
        <is>
          <t>R30</t>
        </is>
      </c>
      <c r="L2" s="5" t="inlineStr">
        <is>
          <t>R38/R40</t>
        </is>
      </c>
      <c r="M2" s="5" t="inlineStr">
        <is>
          <t>R49/R50</t>
        </is>
      </c>
      <c r="N2" s="5" t="inlineStr">
        <is>
          <t>Cellulose</t>
        </is>
      </c>
      <c r="O2" s="5" t="inlineStr">
        <is>
          <t>Soffit</t>
        </is>
      </c>
      <c r="P2" s="5" t="inlineStr">
        <is>
          <t>Bonus</t>
        </is>
      </c>
      <c r="Q2" s="5" t="inlineStr">
        <is>
          <t xml:space="preserve">Other Pay </t>
        </is>
      </c>
      <c r="R2" s="5" t="inlineStr">
        <is>
          <t>Air Seal</t>
        </is>
      </c>
      <c r="S2" s="5" t="inlineStr">
        <is>
          <t>CC 3/4"</t>
        </is>
      </c>
      <c r="T2" s="5" t="inlineStr">
        <is>
          <t>CC 1"</t>
        </is>
      </c>
      <c r="U2" s="5" t="inlineStr">
        <is>
          <t>CC 2"</t>
        </is>
      </c>
      <c r="V2" s="5" t="inlineStr">
        <is>
          <t>CC 3"</t>
        </is>
      </c>
      <c r="W2" s="5" t="inlineStr">
        <is>
          <t>OC 4"</t>
        </is>
      </c>
      <c r="X2" s="5" t="inlineStr">
        <is>
          <t>OC 6"</t>
        </is>
      </c>
      <c r="Y2" s="5" t="inlineStr">
        <is>
          <t>OC 8"</t>
        </is>
      </c>
      <c r="Z2" s="5" t="inlineStr">
        <is>
          <t>Bonus</t>
        </is>
      </c>
      <c r="AA2" s="6" t="inlineStr">
        <is>
          <t>Other Pay</t>
        </is>
      </c>
      <c r="AB2" s="7" t="inlineStr">
        <is>
          <t>Vacation</t>
        </is>
      </c>
      <c r="AC2" s="5" t="inlineStr">
        <is>
          <t>Shop</t>
        </is>
      </c>
    </row>
    <row r="3" ht="16" customHeight="1">
      <c r="A3" s="9" t="inlineStr">
        <is>
          <t>Totals:</t>
        </is>
      </c>
      <c r="B3" s="4">
        <f>SUM(B7:B50)</f>
        <v/>
      </c>
      <c r="C3" s="4">
        <f>SUM(C7:C50)</f>
        <v/>
      </c>
      <c r="D3" s="4">
        <f>SUM(D7:D50)</f>
        <v/>
      </c>
      <c r="E3" s="4">
        <f>SUM(E7:E50)</f>
        <v/>
      </c>
      <c r="F3" s="4">
        <f>SUM(F7:F50)</f>
        <v/>
      </c>
      <c r="G3" s="4">
        <f>SUM(G7:G50)</f>
        <v/>
      </c>
      <c r="H3" s="4">
        <f>SUM(H7:H50)</f>
        <v/>
      </c>
      <c r="I3" s="4">
        <f>SUM(I7:I50)</f>
        <v/>
      </c>
      <c r="J3" s="4">
        <f>SUM(J7:J50)</f>
        <v/>
      </c>
      <c r="K3" s="4">
        <f>SUM(K7:K50)</f>
        <v/>
      </c>
      <c r="L3" s="4">
        <f>SUM(L7:L50)</f>
        <v/>
      </c>
      <c r="M3" s="4">
        <f>SUM(M7:M50)</f>
        <v/>
      </c>
      <c r="N3" s="4">
        <f>SUM(N7:N50)</f>
        <v/>
      </c>
      <c r="O3" s="4">
        <f>SUM(O7:O50)</f>
        <v/>
      </c>
      <c r="P3" s="4">
        <f>SUM(P7:P50)</f>
        <v/>
      </c>
      <c r="Q3" s="4">
        <f>SUM(Q7:Q50)</f>
        <v/>
      </c>
      <c r="R3" s="4">
        <f>SUM(R7:R50)</f>
        <v/>
      </c>
      <c r="S3" s="4">
        <f>SUM(S7:S50)</f>
        <v/>
      </c>
      <c r="T3" s="4">
        <f>SUM(T7:T50)</f>
        <v/>
      </c>
      <c r="U3" s="4">
        <f>SUM(U7:U50)</f>
        <v/>
      </c>
      <c r="V3" s="4">
        <f>SUM(V7:V50)</f>
        <v/>
      </c>
      <c r="W3" s="4">
        <f>SUM(W7:W50)</f>
        <v/>
      </c>
      <c r="X3" s="4">
        <f>SUM(X7:X50)</f>
        <v/>
      </c>
      <c r="Y3" s="4">
        <f>SUM(Y7:Y50)</f>
        <v/>
      </c>
      <c r="Z3" s="4">
        <f>SUM(Z7:Z50)</f>
        <v/>
      </c>
      <c r="AA3" s="4">
        <f>SUM(AA7:AA50)</f>
        <v/>
      </c>
      <c r="AB3" s="4">
        <f>SUM(AB7:AB50)</f>
        <v/>
      </c>
      <c r="AC3" s="42">
        <f>SUM(AC7:AC750)</f>
        <v/>
      </c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6" customHeight="1">
      <c r="A5" s="1" t="n"/>
      <c r="B5" s="8" t="inlineStr">
        <is>
          <t>Batt Work</t>
        </is>
      </c>
      <c r="C5" s="1" t="n"/>
      <c r="D5" s="1" t="n"/>
      <c r="E5" s="1" t="n"/>
      <c r="F5" s="1" t="n"/>
      <c r="G5" s="1" t="n"/>
      <c r="H5" s="1" t="n"/>
      <c r="I5" s="1" t="n"/>
      <c r="J5" s="8" t="inlineStr">
        <is>
          <t>Attic Work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8" t="inlineStr">
        <is>
          <t>Foam Work</t>
        </is>
      </c>
      <c r="U5" s="1" t="n"/>
      <c r="V5" s="1" t="n"/>
      <c r="W5" s="1" t="n"/>
      <c r="X5" s="1" t="n"/>
      <c r="Y5" s="1" t="n"/>
      <c r="Z5" s="1" t="n"/>
      <c r="AA5" s="1" t="n"/>
      <c r="AB5" s="1" t="n"/>
    </row>
    <row r="6" ht="32" customHeight="1">
      <c r="A6" s="2" t="inlineStr">
        <is>
          <t>Job Name</t>
        </is>
      </c>
      <c r="B6" s="2" t="inlineStr">
        <is>
          <t>Batt&gt;10ft</t>
        </is>
      </c>
      <c r="C6" s="2" t="inlineStr">
        <is>
          <t>Batt&lt;10ft</t>
        </is>
      </c>
      <c r="D6" s="2" t="inlineStr">
        <is>
          <t>Soffit</t>
        </is>
      </c>
      <c r="E6" s="2" t="inlineStr">
        <is>
          <t>Caulk&amp;Foam</t>
        </is>
      </c>
      <c r="F6" s="2" t="inlineStr">
        <is>
          <t>Bonus</t>
        </is>
      </c>
      <c r="G6" s="2" t="inlineStr">
        <is>
          <t>Cellulose</t>
        </is>
      </c>
      <c r="H6" s="2" t="inlineStr">
        <is>
          <t xml:space="preserve">Other Pay </t>
        </is>
      </c>
      <c r="I6" s="2" t="inlineStr">
        <is>
          <t>BIBS</t>
        </is>
      </c>
      <c r="J6" s="2" t="inlineStr">
        <is>
          <t>R19</t>
        </is>
      </c>
      <c r="K6" s="2" t="inlineStr">
        <is>
          <t>R30</t>
        </is>
      </c>
      <c r="L6" s="2" t="inlineStr">
        <is>
          <t>R38/R40</t>
        </is>
      </c>
      <c r="M6" s="2" t="inlineStr">
        <is>
          <t>R49/R50</t>
        </is>
      </c>
      <c r="N6" s="2" t="inlineStr">
        <is>
          <t>Cellulose</t>
        </is>
      </c>
      <c r="O6" s="2" t="inlineStr">
        <is>
          <t>Soffit</t>
        </is>
      </c>
      <c r="P6" s="2" t="inlineStr">
        <is>
          <t>Bonus</t>
        </is>
      </c>
      <c r="Q6" s="2" t="inlineStr">
        <is>
          <t xml:space="preserve">Other Pay </t>
        </is>
      </c>
      <c r="R6" s="2" t="inlineStr">
        <is>
          <t>Air Seal</t>
        </is>
      </c>
      <c r="S6" s="2" t="inlineStr">
        <is>
          <t>CC 3/4"</t>
        </is>
      </c>
      <c r="T6" s="2" t="inlineStr">
        <is>
          <t>CC 1"</t>
        </is>
      </c>
      <c r="U6" s="2" t="inlineStr">
        <is>
          <t>CC 2"</t>
        </is>
      </c>
      <c r="V6" s="2" t="inlineStr">
        <is>
          <t>CC 3"</t>
        </is>
      </c>
      <c r="W6" s="2" t="inlineStr">
        <is>
          <t>OC 4"</t>
        </is>
      </c>
      <c r="X6" s="2" t="inlineStr">
        <is>
          <t>OC 6"</t>
        </is>
      </c>
      <c r="Y6" s="2" t="inlineStr">
        <is>
          <t>OC 8"</t>
        </is>
      </c>
      <c r="Z6" s="2" t="inlineStr">
        <is>
          <t>Bonus</t>
        </is>
      </c>
      <c r="AA6" s="3" t="inlineStr">
        <is>
          <t>Other Pay</t>
        </is>
      </c>
      <c r="AB6" s="10" t="inlineStr">
        <is>
          <t>Vacation</t>
        </is>
      </c>
      <c r="AC6" s="43" t="inlineStr">
        <is>
          <t>Shop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7" sqref="A7"/>
    </sheetView>
  </sheetViews>
  <sheetFormatPr baseColWidth="8" defaultRowHeight="14.5"/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5" t="inlineStr">
        <is>
          <t>Batt&gt;10ft</t>
        </is>
      </c>
      <c r="C2" s="5" t="inlineStr">
        <is>
          <t>Batt&lt;10ft</t>
        </is>
      </c>
      <c r="D2" s="5" t="inlineStr">
        <is>
          <t>Soffit</t>
        </is>
      </c>
      <c r="E2" s="5" t="inlineStr">
        <is>
          <t>Caulk&amp;Foam</t>
        </is>
      </c>
      <c r="F2" s="5" t="inlineStr">
        <is>
          <t>Bonus</t>
        </is>
      </c>
      <c r="G2" s="5" t="inlineStr">
        <is>
          <t>Cellulose</t>
        </is>
      </c>
      <c r="H2" s="5" t="inlineStr">
        <is>
          <t xml:space="preserve">Other Pay </t>
        </is>
      </c>
      <c r="I2" s="5" t="inlineStr">
        <is>
          <t>BIBS</t>
        </is>
      </c>
      <c r="J2" s="5" t="inlineStr">
        <is>
          <t>R19</t>
        </is>
      </c>
      <c r="K2" s="5" t="inlineStr">
        <is>
          <t>R30</t>
        </is>
      </c>
      <c r="L2" s="5" t="inlineStr">
        <is>
          <t>R38/R40</t>
        </is>
      </c>
      <c r="M2" s="5" t="inlineStr">
        <is>
          <t>R49/R50</t>
        </is>
      </c>
      <c r="N2" s="5" t="inlineStr">
        <is>
          <t>Cellulose</t>
        </is>
      </c>
      <c r="O2" s="5" t="inlineStr">
        <is>
          <t>Soffit</t>
        </is>
      </c>
      <c r="P2" s="5" t="inlineStr">
        <is>
          <t>Bonus</t>
        </is>
      </c>
      <c r="Q2" s="5" t="inlineStr">
        <is>
          <t xml:space="preserve">Other Pay </t>
        </is>
      </c>
      <c r="R2" s="5" t="inlineStr">
        <is>
          <t>Air Seal</t>
        </is>
      </c>
      <c r="S2" s="5" t="inlineStr">
        <is>
          <t>CC 3/4"</t>
        </is>
      </c>
      <c r="T2" s="5" t="inlineStr">
        <is>
          <t>CC 1"</t>
        </is>
      </c>
      <c r="U2" s="5" t="inlineStr">
        <is>
          <t>CC 2"</t>
        </is>
      </c>
      <c r="V2" s="5" t="inlineStr">
        <is>
          <t>CC 3"</t>
        </is>
      </c>
      <c r="W2" s="5" t="inlineStr">
        <is>
          <t>OC 4"</t>
        </is>
      </c>
      <c r="X2" s="5" t="inlineStr">
        <is>
          <t>OC 6"</t>
        </is>
      </c>
      <c r="Y2" s="5" t="inlineStr">
        <is>
          <t>OC 8"</t>
        </is>
      </c>
      <c r="Z2" s="5" t="inlineStr">
        <is>
          <t>Bonus</t>
        </is>
      </c>
      <c r="AA2" s="6" t="inlineStr">
        <is>
          <t>Other Pay</t>
        </is>
      </c>
      <c r="AB2" s="7" t="inlineStr">
        <is>
          <t>Vacation</t>
        </is>
      </c>
      <c r="AC2" s="5" t="inlineStr">
        <is>
          <t>Shop</t>
        </is>
      </c>
    </row>
    <row r="3" ht="16" customHeight="1">
      <c r="A3" s="9" t="inlineStr">
        <is>
          <t>Totals:</t>
        </is>
      </c>
      <c r="B3" s="4">
        <f>SUM(B7:B50)</f>
        <v/>
      </c>
      <c r="C3" s="4">
        <f>SUM(C7:C50)</f>
        <v/>
      </c>
      <c r="D3" s="4">
        <f>SUM(D7:D50)</f>
        <v/>
      </c>
      <c r="E3" s="4">
        <f>SUM(E7:E50)</f>
        <v/>
      </c>
      <c r="F3" s="4">
        <f>SUM(F7:F50)</f>
        <v/>
      </c>
      <c r="G3" s="4">
        <f>SUM(G7:G50)</f>
        <v/>
      </c>
      <c r="H3" s="4">
        <f>SUM(H7:H50)</f>
        <v/>
      </c>
      <c r="I3" s="4">
        <f>SUM(I7:I50)</f>
        <v/>
      </c>
      <c r="J3" s="4">
        <f>SUM(J7:J50)</f>
        <v/>
      </c>
      <c r="K3" s="4">
        <f>SUM(K7:K50)</f>
        <v/>
      </c>
      <c r="L3" s="4">
        <f>SUM(L7:L50)</f>
        <v/>
      </c>
      <c r="M3" s="4">
        <f>SUM(M7:M50)</f>
        <v/>
      </c>
      <c r="N3" s="4">
        <f>SUM(N7:N50)</f>
        <v/>
      </c>
      <c r="O3" s="4">
        <f>SUM(O7:O50)</f>
        <v/>
      </c>
      <c r="P3" s="4">
        <f>SUM(P7:P50)</f>
        <v/>
      </c>
      <c r="Q3" s="4">
        <f>SUM(Q7:Q50)</f>
        <v/>
      </c>
      <c r="R3" s="4">
        <f>SUM(R7:R50)</f>
        <v/>
      </c>
      <c r="S3" s="4">
        <f>SUM(S7:S50)</f>
        <v/>
      </c>
      <c r="T3" s="4">
        <f>SUM(T7:T50)</f>
        <v/>
      </c>
      <c r="U3" s="4">
        <f>SUM(U7:U50)</f>
        <v/>
      </c>
      <c r="V3" s="4">
        <f>SUM(V7:V50)</f>
        <v/>
      </c>
      <c r="W3" s="4">
        <f>SUM(W7:W50)</f>
        <v/>
      </c>
      <c r="X3" s="4">
        <f>SUM(X7:X50)</f>
        <v/>
      </c>
      <c r="Y3" s="4">
        <f>SUM(Y7:Y50)</f>
        <v/>
      </c>
      <c r="Z3" s="4">
        <f>SUM(Z7:Z50)</f>
        <v/>
      </c>
      <c r="AA3" s="4">
        <f>SUM(AA7:AA50)</f>
        <v/>
      </c>
      <c r="AB3" s="4">
        <f>SUM(AB7:AB50)</f>
        <v/>
      </c>
      <c r="AC3" s="42">
        <f>SUM(AC7:AC750)</f>
        <v/>
      </c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6" customHeight="1">
      <c r="A5" s="1" t="n"/>
      <c r="B5" s="8" t="inlineStr">
        <is>
          <t>Batt Work</t>
        </is>
      </c>
      <c r="C5" s="1" t="n"/>
      <c r="D5" s="1" t="n"/>
      <c r="E5" s="1" t="n"/>
      <c r="F5" s="1" t="n"/>
      <c r="G5" s="1" t="n"/>
      <c r="H5" s="1" t="n"/>
      <c r="I5" s="1" t="n"/>
      <c r="J5" s="8" t="inlineStr">
        <is>
          <t>Attic Work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8" t="inlineStr">
        <is>
          <t>Foam Work</t>
        </is>
      </c>
      <c r="U5" s="1" t="n"/>
      <c r="V5" s="1" t="n"/>
      <c r="W5" s="1" t="n"/>
      <c r="X5" s="1" t="n"/>
      <c r="Y5" s="1" t="n"/>
      <c r="Z5" s="1" t="n"/>
      <c r="AA5" s="1" t="n"/>
      <c r="AB5" s="1" t="n"/>
    </row>
    <row r="6" ht="32" customHeight="1">
      <c r="A6" s="2" t="inlineStr">
        <is>
          <t>Job Name</t>
        </is>
      </c>
      <c r="B6" s="2" t="inlineStr">
        <is>
          <t>Batt&gt;10ft</t>
        </is>
      </c>
      <c r="C6" s="2" t="inlineStr">
        <is>
          <t>Batt&lt;10ft</t>
        </is>
      </c>
      <c r="D6" s="2" t="inlineStr">
        <is>
          <t>Soffit</t>
        </is>
      </c>
      <c r="E6" s="2" t="inlineStr">
        <is>
          <t>Caulk&amp;Foam</t>
        </is>
      </c>
      <c r="F6" s="2" t="inlineStr">
        <is>
          <t>Bonus</t>
        </is>
      </c>
      <c r="G6" s="2" t="inlineStr">
        <is>
          <t>Cellulose</t>
        </is>
      </c>
      <c r="H6" s="2" t="inlineStr">
        <is>
          <t xml:space="preserve">Other Pay </t>
        </is>
      </c>
      <c r="I6" s="2" t="inlineStr">
        <is>
          <t>BIBS</t>
        </is>
      </c>
      <c r="J6" s="2" t="inlineStr">
        <is>
          <t>R19</t>
        </is>
      </c>
      <c r="K6" s="2" t="inlineStr">
        <is>
          <t>R30</t>
        </is>
      </c>
      <c r="L6" s="2" t="inlineStr">
        <is>
          <t>R38/R40</t>
        </is>
      </c>
      <c r="M6" s="2" t="inlineStr">
        <is>
          <t>R49/R50</t>
        </is>
      </c>
      <c r="N6" s="2" t="inlineStr">
        <is>
          <t>Cellulose</t>
        </is>
      </c>
      <c r="O6" s="2" t="inlineStr">
        <is>
          <t>Soffit</t>
        </is>
      </c>
      <c r="P6" s="2" t="inlineStr">
        <is>
          <t>Bonus</t>
        </is>
      </c>
      <c r="Q6" s="2" t="inlineStr">
        <is>
          <t xml:space="preserve">Other Pay </t>
        </is>
      </c>
      <c r="R6" s="2" t="inlineStr">
        <is>
          <t>Air Seal</t>
        </is>
      </c>
      <c r="S6" s="2" t="inlineStr">
        <is>
          <t>CC 3/4"</t>
        </is>
      </c>
      <c r="T6" s="2" t="inlineStr">
        <is>
          <t>CC 1"</t>
        </is>
      </c>
      <c r="U6" s="2" t="inlineStr">
        <is>
          <t>CC 2"</t>
        </is>
      </c>
      <c r="V6" s="2" t="inlineStr">
        <is>
          <t>CC 3"</t>
        </is>
      </c>
      <c r="W6" s="2" t="inlineStr">
        <is>
          <t>OC 4"</t>
        </is>
      </c>
      <c r="X6" s="2" t="inlineStr">
        <is>
          <t>OC 6"</t>
        </is>
      </c>
      <c r="Y6" s="2" t="inlineStr">
        <is>
          <t>OC 8"</t>
        </is>
      </c>
      <c r="Z6" s="2" t="inlineStr">
        <is>
          <t>Bonus</t>
        </is>
      </c>
      <c r="AA6" s="3" t="inlineStr">
        <is>
          <t>Other Pay</t>
        </is>
      </c>
      <c r="AB6" s="10" t="inlineStr">
        <is>
          <t>Vacation</t>
        </is>
      </c>
      <c r="AC6" s="43" t="inlineStr">
        <is>
          <t>Shop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7" sqref="A7"/>
    </sheetView>
  </sheetViews>
  <sheetFormatPr baseColWidth="8" defaultRowHeight="14.5"/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5" t="inlineStr">
        <is>
          <t>Batt&gt;10ft</t>
        </is>
      </c>
      <c r="C2" s="5" t="inlineStr">
        <is>
          <t>Batt&lt;10ft</t>
        </is>
      </c>
      <c r="D2" s="5" t="inlineStr">
        <is>
          <t>Soffit</t>
        </is>
      </c>
      <c r="E2" s="5" t="inlineStr">
        <is>
          <t>Caulk&amp;Foam</t>
        </is>
      </c>
      <c r="F2" s="5" t="inlineStr">
        <is>
          <t>Bonus</t>
        </is>
      </c>
      <c r="G2" s="5" t="inlineStr">
        <is>
          <t>Cellulose</t>
        </is>
      </c>
      <c r="H2" s="5" t="inlineStr">
        <is>
          <t xml:space="preserve">Other Pay </t>
        </is>
      </c>
      <c r="I2" s="5" t="inlineStr">
        <is>
          <t>BIBS</t>
        </is>
      </c>
      <c r="J2" s="5" t="inlineStr">
        <is>
          <t>R19</t>
        </is>
      </c>
      <c r="K2" s="5" t="inlineStr">
        <is>
          <t>R30</t>
        </is>
      </c>
      <c r="L2" s="5" t="inlineStr">
        <is>
          <t>R38/R40</t>
        </is>
      </c>
      <c r="M2" s="5" t="inlineStr">
        <is>
          <t>R49/R50</t>
        </is>
      </c>
      <c r="N2" s="5" t="inlineStr">
        <is>
          <t>Cellulose</t>
        </is>
      </c>
      <c r="O2" s="5" t="inlineStr">
        <is>
          <t>Soffit</t>
        </is>
      </c>
      <c r="P2" s="5" t="inlineStr">
        <is>
          <t>Bonus</t>
        </is>
      </c>
      <c r="Q2" s="5" t="inlineStr">
        <is>
          <t xml:space="preserve">Other Pay </t>
        </is>
      </c>
      <c r="R2" s="5" t="inlineStr">
        <is>
          <t>Air Seal</t>
        </is>
      </c>
      <c r="S2" s="5" t="inlineStr">
        <is>
          <t>CC 3/4"</t>
        </is>
      </c>
      <c r="T2" s="5" t="inlineStr">
        <is>
          <t>CC 1"</t>
        </is>
      </c>
      <c r="U2" s="5" t="inlineStr">
        <is>
          <t>CC 2"</t>
        </is>
      </c>
      <c r="V2" s="5" t="inlineStr">
        <is>
          <t>CC 3"</t>
        </is>
      </c>
      <c r="W2" s="5" t="inlineStr">
        <is>
          <t>OC 4"</t>
        </is>
      </c>
      <c r="X2" s="5" t="inlineStr">
        <is>
          <t>OC 6"</t>
        </is>
      </c>
      <c r="Y2" s="5" t="inlineStr">
        <is>
          <t>OC 8"</t>
        </is>
      </c>
      <c r="Z2" s="5" t="inlineStr">
        <is>
          <t>Bonus</t>
        </is>
      </c>
      <c r="AA2" s="6" t="inlineStr">
        <is>
          <t>Other Pay</t>
        </is>
      </c>
      <c r="AB2" s="7" t="inlineStr">
        <is>
          <t>Vacation</t>
        </is>
      </c>
      <c r="AC2" s="5" t="inlineStr">
        <is>
          <t>Shop</t>
        </is>
      </c>
    </row>
    <row r="3" ht="16" customHeight="1">
      <c r="A3" s="9" t="inlineStr">
        <is>
          <t>Totals:</t>
        </is>
      </c>
      <c r="B3" s="4">
        <f>SUM(B7:B50)</f>
        <v/>
      </c>
      <c r="C3" s="4">
        <f>SUM(C7:C50)</f>
        <v/>
      </c>
      <c r="D3" s="4">
        <f>SUM(D7:D50)</f>
        <v/>
      </c>
      <c r="E3" s="4">
        <f>SUM(E7:E50)</f>
        <v/>
      </c>
      <c r="F3" s="4">
        <f>SUM(F7:F50)</f>
        <v/>
      </c>
      <c r="G3" s="4">
        <f>SUM(G7:G50)</f>
        <v/>
      </c>
      <c r="H3" s="4">
        <f>SUM(H7:H50)</f>
        <v/>
      </c>
      <c r="I3" s="4">
        <f>SUM(I7:I50)</f>
        <v/>
      </c>
      <c r="J3" s="4">
        <f>SUM(J7:J50)</f>
        <v/>
      </c>
      <c r="K3" s="4">
        <f>SUM(K7:K50)</f>
        <v/>
      </c>
      <c r="L3" s="4">
        <f>SUM(L7:L50)</f>
        <v/>
      </c>
      <c r="M3" s="4">
        <f>SUM(M7:M50)</f>
        <v/>
      </c>
      <c r="N3" s="4">
        <f>SUM(N7:N50)</f>
        <v/>
      </c>
      <c r="O3" s="4">
        <f>SUM(O7:O50)</f>
        <v/>
      </c>
      <c r="P3" s="4">
        <f>SUM(P7:P50)</f>
        <v/>
      </c>
      <c r="Q3" s="4">
        <f>SUM(Q7:Q50)</f>
        <v/>
      </c>
      <c r="R3" s="4">
        <f>SUM(R7:R50)</f>
        <v/>
      </c>
      <c r="S3" s="4">
        <f>SUM(S7:S50)</f>
        <v/>
      </c>
      <c r="T3" s="4">
        <f>SUM(T7:T50)</f>
        <v/>
      </c>
      <c r="U3" s="4">
        <f>SUM(U7:U50)</f>
        <v/>
      </c>
      <c r="V3" s="4">
        <f>SUM(V7:V50)</f>
        <v/>
      </c>
      <c r="W3" s="4">
        <f>SUM(W7:W50)</f>
        <v/>
      </c>
      <c r="X3" s="4">
        <f>SUM(X7:X50)</f>
        <v/>
      </c>
      <c r="Y3" s="4">
        <f>SUM(Y7:Y50)</f>
        <v/>
      </c>
      <c r="Z3" s="4">
        <f>SUM(Z7:Z50)</f>
        <v/>
      </c>
      <c r="AA3" s="4">
        <f>SUM(AA7:AA50)</f>
        <v/>
      </c>
      <c r="AB3" s="4">
        <f>SUM(AB7:AB50)</f>
        <v/>
      </c>
      <c r="AC3" s="42">
        <f>SUM(AC7:AC750)</f>
        <v/>
      </c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6" customHeight="1">
      <c r="A5" s="1" t="n"/>
      <c r="B5" s="8" t="inlineStr">
        <is>
          <t>Batt Work</t>
        </is>
      </c>
      <c r="C5" s="1" t="n"/>
      <c r="D5" s="1" t="n"/>
      <c r="E5" s="1" t="n"/>
      <c r="F5" s="1" t="n"/>
      <c r="G5" s="1" t="n"/>
      <c r="H5" s="1" t="n"/>
      <c r="I5" s="1" t="n"/>
      <c r="J5" s="8" t="inlineStr">
        <is>
          <t>Attic Work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8" t="inlineStr">
        <is>
          <t>Foam Work</t>
        </is>
      </c>
      <c r="U5" s="1" t="n"/>
      <c r="V5" s="1" t="n"/>
      <c r="W5" s="1" t="n"/>
      <c r="X5" s="1" t="n"/>
      <c r="Y5" s="1" t="n"/>
      <c r="Z5" s="1" t="n"/>
      <c r="AA5" s="1" t="n"/>
      <c r="AB5" s="1" t="n"/>
    </row>
    <row r="6" ht="32" customHeight="1">
      <c r="A6" s="2" t="inlineStr">
        <is>
          <t>Job Name</t>
        </is>
      </c>
      <c r="B6" s="2" t="inlineStr">
        <is>
          <t>Batt&gt;10ft</t>
        </is>
      </c>
      <c r="C6" s="2" t="inlineStr">
        <is>
          <t>Batt&lt;10ft</t>
        </is>
      </c>
      <c r="D6" s="2" t="inlineStr">
        <is>
          <t>Soffit</t>
        </is>
      </c>
      <c r="E6" s="2" t="inlineStr">
        <is>
          <t>Caulk&amp;Foam</t>
        </is>
      </c>
      <c r="F6" s="2" t="inlineStr">
        <is>
          <t>Bonus</t>
        </is>
      </c>
      <c r="G6" s="2" t="inlineStr">
        <is>
          <t>Cellulose</t>
        </is>
      </c>
      <c r="H6" s="2" t="inlineStr">
        <is>
          <t xml:space="preserve">Other Pay </t>
        </is>
      </c>
      <c r="I6" s="2" t="inlineStr">
        <is>
          <t>BIBS</t>
        </is>
      </c>
      <c r="J6" s="2" t="inlineStr">
        <is>
          <t>R19</t>
        </is>
      </c>
      <c r="K6" s="2" t="inlineStr">
        <is>
          <t>R30</t>
        </is>
      </c>
      <c r="L6" s="2" t="inlineStr">
        <is>
          <t>R38/R40</t>
        </is>
      </c>
      <c r="M6" s="2" t="inlineStr">
        <is>
          <t>R49/R50</t>
        </is>
      </c>
      <c r="N6" s="2" t="inlineStr">
        <is>
          <t>Cellulose</t>
        </is>
      </c>
      <c r="O6" s="2" t="inlineStr">
        <is>
          <t>Soffit</t>
        </is>
      </c>
      <c r="P6" s="2" t="inlineStr">
        <is>
          <t>Bonus</t>
        </is>
      </c>
      <c r="Q6" s="2" t="inlineStr">
        <is>
          <t xml:space="preserve">Other Pay </t>
        </is>
      </c>
      <c r="R6" s="2" t="inlineStr">
        <is>
          <t>Air Seal</t>
        </is>
      </c>
      <c r="S6" s="2" t="inlineStr">
        <is>
          <t>CC 3/4"</t>
        </is>
      </c>
      <c r="T6" s="2" t="inlineStr">
        <is>
          <t>CC 1"</t>
        </is>
      </c>
      <c r="U6" s="2" t="inlineStr">
        <is>
          <t>CC 2"</t>
        </is>
      </c>
      <c r="V6" s="2" t="inlineStr">
        <is>
          <t>CC 3"</t>
        </is>
      </c>
      <c r="W6" s="2" t="inlineStr">
        <is>
          <t>OC 4"</t>
        </is>
      </c>
      <c r="X6" s="2" t="inlineStr">
        <is>
          <t>OC 6"</t>
        </is>
      </c>
      <c r="Y6" s="2" t="inlineStr">
        <is>
          <t>OC 8"</t>
        </is>
      </c>
      <c r="Z6" s="2" t="inlineStr">
        <is>
          <t>Bonus</t>
        </is>
      </c>
      <c r="AA6" s="3" t="inlineStr">
        <is>
          <t>Other Pay</t>
        </is>
      </c>
      <c r="AB6" s="10" t="inlineStr">
        <is>
          <t>Vacation</t>
        </is>
      </c>
      <c r="AC6" s="43" t="inlineStr">
        <is>
          <t>Shop</t>
        </is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7" sqref="A7"/>
    </sheetView>
  </sheetViews>
  <sheetFormatPr baseColWidth="8" defaultRowHeight="14.5"/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5" t="inlineStr">
        <is>
          <t>Batt&gt;10ft</t>
        </is>
      </c>
      <c r="C2" s="5" t="inlineStr">
        <is>
          <t>Batt&lt;10ft</t>
        </is>
      </c>
      <c r="D2" s="5" t="inlineStr">
        <is>
          <t>Soffit</t>
        </is>
      </c>
      <c r="E2" s="5" t="inlineStr">
        <is>
          <t>Caulk&amp;Foam</t>
        </is>
      </c>
      <c r="F2" s="5" t="inlineStr">
        <is>
          <t>Bonus</t>
        </is>
      </c>
      <c r="G2" s="5" t="inlineStr">
        <is>
          <t>Cellulose</t>
        </is>
      </c>
      <c r="H2" s="5" t="inlineStr">
        <is>
          <t xml:space="preserve">Other Pay </t>
        </is>
      </c>
      <c r="I2" s="5" t="inlineStr">
        <is>
          <t>BIBS</t>
        </is>
      </c>
      <c r="J2" s="5" t="inlineStr">
        <is>
          <t>R19</t>
        </is>
      </c>
      <c r="K2" s="5" t="inlineStr">
        <is>
          <t>R30</t>
        </is>
      </c>
      <c r="L2" s="5" t="inlineStr">
        <is>
          <t>R38/R40</t>
        </is>
      </c>
      <c r="M2" s="5" t="inlineStr">
        <is>
          <t>R49/R50</t>
        </is>
      </c>
      <c r="N2" s="5" t="inlineStr">
        <is>
          <t>Cellulose</t>
        </is>
      </c>
      <c r="O2" s="5" t="inlineStr">
        <is>
          <t>Soffit</t>
        </is>
      </c>
      <c r="P2" s="5" t="inlineStr">
        <is>
          <t>Bonus</t>
        </is>
      </c>
      <c r="Q2" s="5" t="inlineStr">
        <is>
          <t xml:space="preserve">Other Pay </t>
        </is>
      </c>
      <c r="R2" s="5" t="inlineStr">
        <is>
          <t>Air Seal</t>
        </is>
      </c>
      <c r="S2" s="5" t="inlineStr">
        <is>
          <t>CC 3/4"</t>
        </is>
      </c>
      <c r="T2" s="5" t="inlineStr">
        <is>
          <t>CC 1"</t>
        </is>
      </c>
      <c r="U2" s="5" t="inlineStr">
        <is>
          <t>CC 2"</t>
        </is>
      </c>
      <c r="V2" s="5" t="inlineStr">
        <is>
          <t>CC 3"</t>
        </is>
      </c>
      <c r="W2" s="5" t="inlineStr">
        <is>
          <t>OC 4"</t>
        </is>
      </c>
      <c r="X2" s="5" t="inlineStr">
        <is>
          <t>OC 6"</t>
        </is>
      </c>
      <c r="Y2" s="5" t="inlineStr">
        <is>
          <t>OC 8"</t>
        </is>
      </c>
      <c r="Z2" s="5" t="inlineStr">
        <is>
          <t>Bonus</t>
        </is>
      </c>
      <c r="AA2" s="6" t="inlineStr">
        <is>
          <t>Other Pay</t>
        </is>
      </c>
      <c r="AB2" s="7" t="inlineStr">
        <is>
          <t>Vacation</t>
        </is>
      </c>
      <c r="AC2" s="5" t="inlineStr">
        <is>
          <t>Shop</t>
        </is>
      </c>
    </row>
    <row r="3" ht="16" customHeight="1">
      <c r="A3" s="9" t="inlineStr">
        <is>
          <t>Totals:</t>
        </is>
      </c>
      <c r="B3" s="4">
        <f>SUM(B7:B50)</f>
        <v/>
      </c>
      <c r="C3" s="4">
        <f>SUM(C7:C50)</f>
        <v/>
      </c>
      <c r="D3" s="4">
        <f>SUM(D7:D50)</f>
        <v/>
      </c>
      <c r="E3" s="4">
        <f>SUM(E7:E50)</f>
        <v/>
      </c>
      <c r="F3" s="4">
        <f>SUM(F7:F50)</f>
        <v/>
      </c>
      <c r="G3" s="4">
        <f>SUM(G7:G50)</f>
        <v/>
      </c>
      <c r="H3" s="4">
        <f>SUM(H7:H50)</f>
        <v/>
      </c>
      <c r="I3" s="4">
        <f>SUM(I7:I50)</f>
        <v/>
      </c>
      <c r="J3" s="4">
        <f>SUM(J7:J50)</f>
        <v/>
      </c>
      <c r="K3" s="4">
        <f>SUM(K7:K50)</f>
        <v/>
      </c>
      <c r="L3" s="4">
        <f>SUM(L7:L50)</f>
        <v/>
      </c>
      <c r="M3" s="4">
        <f>SUM(M7:M50)</f>
        <v/>
      </c>
      <c r="N3" s="4">
        <f>SUM(N7:N50)</f>
        <v/>
      </c>
      <c r="O3" s="4">
        <f>SUM(O7:O50)</f>
        <v/>
      </c>
      <c r="P3" s="4">
        <f>SUM(P7:P50)</f>
        <v/>
      </c>
      <c r="Q3" s="4">
        <f>SUM(Q7:Q50)</f>
        <v/>
      </c>
      <c r="R3" s="4">
        <f>SUM(R7:R50)</f>
        <v/>
      </c>
      <c r="S3" s="4">
        <f>SUM(S7:S50)</f>
        <v/>
      </c>
      <c r="T3" s="4">
        <f>SUM(T7:T50)</f>
        <v/>
      </c>
      <c r="U3" s="4">
        <f>SUM(U7:U50)</f>
        <v/>
      </c>
      <c r="V3" s="4">
        <f>SUM(V7:V50)</f>
        <v/>
      </c>
      <c r="W3" s="4">
        <f>SUM(W7:W50)</f>
        <v/>
      </c>
      <c r="X3" s="4">
        <f>SUM(X7:X50)</f>
        <v/>
      </c>
      <c r="Y3" s="4">
        <f>SUM(Y7:Y50)</f>
        <v/>
      </c>
      <c r="Z3" s="4">
        <f>SUM(Z7:Z50)</f>
        <v/>
      </c>
      <c r="AA3" s="4">
        <f>SUM(AA7:AA50)</f>
        <v/>
      </c>
      <c r="AB3" s="4">
        <f>SUM(AB7:AB50)</f>
        <v/>
      </c>
      <c r="AC3" s="42">
        <f>SUM(AC7:AC750)</f>
        <v/>
      </c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6" customHeight="1">
      <c r="A5" s="1" t="n"/>
      <c r="B5" s="8" t="inlineStr">
        <is>
          <t>Batt Work</t>
        </is>
      </c>
      <c r="C5" s="1" t="n"/>
      <c r="D5" s="1" t="n"/>
      <c r="E5" s="1" t="n"/>
      <c r="F5" s="1" t="n"/>
      <c r="G5" s="1" t="n"/>
      <c r="H5" s="1" t="n"/>
      <c r="I5" s="1" t="n"/>
      <c r="J5" s="8" t="inlineStr">
        <is>
          <t>Attic Work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8" t="inlineStr">
        <is>
          <t>Foam Work</t>
        </is>
      </c>
      <c r="U5" s="1" t="n"/>
      <c r="V5" s="1" t="n"/>
      <c r="W5" s="1" t="n"/>
      <c r="X5" s="1" t="n"/>
      <c r="Y5" s="1" t="n"/>
      <c r="Z5" s="1" t="n"/>
      <c r="AA5" s="1" t="n"/>
      <c r="AB5" s="1" t="n"/>
    </row>
    <row r="6" ht="32" customHeight="1">
      <c r="A6" s="2" t="inlineStr">
        <is>
          <t>Job Name</t>
        </is>
      </c>
      <c r="B6" s="2" t="inlineStr">
        <is>
          <t>Batt&gt;10ft</t>
        </is>
      </c>
      <c r="C6" s="2" t="inlineStr">
        <is>
          <t>Batt&lt;10ft</t>
        </is>
      </c>
      <c r="D6" s="2" t="inlineStr">
        <is>
          <t>Soffit</t>
        </is>
      </c>
      <c r="E6" s="2" t="inlineStr">
        <is>
          <t>Caulk&amp;Foam</t>
        </is>
      </c>
      <c r="F6" s="2" t="inlineStr">
        <is>
          <t>Bonus</t>
        </is>
      </c>
      <c r="G6" s="2" t="inlineStr">
        <is>
          <t>Cellulose</t>
        </is>
      </c>
      <c r="H6" s="2" t="inlineStr">
        <is>
          <t xml:space="preserve">Other Pay </t>
        </is>
      </c>
      <c r="I6" s="2" t="inlineStr">
        <is>
          <t>BIBS</t>
        </is>
      </c>
      <c r="J6" s="2" t="inlineStr">
        <is>
          <t>R19</t>
        </is>
      </c>
      <c r="K6" s="2" t="inlineStr">
        <is>
          <t>R30</t>
        </is>
      </c>
      <c r="L6" s="2" t="inlineStr">
        <is>
          <t>R38/R40</t>
        </is>
      </c>
      <c r="M6" s="2" t="inlineStr">
        <is>
          <t>R49/R50</t>
        </is>
      </c>
      <c r="N6" s="2" t="inlineStr">
        <is>
          <t>Cellulose</t>
        </is>
      </c>
      <c r="O6" s="2" t="inlineStr">
        <is>
          <t>Soffit</t>
        </is>
      </c>
      <c r="P6" s="2" t="inlineStr">
        <is>
          <t>Bonus</t>
        </is>
      </c>
      <c r="Q6" s="2" t="inlineStr">
        <is>
          <t xml:space="preserve">Other Pay </t>
        </is>
      </c>
      <c r="R6" s="2" t="inlineStr">
        <is>
          <t>Air Seal</t>
        </is>
      </c>
      <c r="S6" s="2" t="inlineStr">
        <is>
          <t>CC 3/4"</t>
        </is>
      </c>
      <c r="T6" s="2" t="inlineStr">
        <is>
          <t>CC 1"</t>
        </is>
      </c>
      <c r="U6" s="2" t="inlineStr">
        <is>
          <t>CC 2"</t>
        </is>
      </c>
      <c r="V6" s="2" t="inlineStr">
        <is>
          <t>CC 3"</t>
        </is>
      </c>
      <c r="W6" s="2" t="inlineStr">
        <is>
          <t>OC 4"</t>
        </is>
      </c>
      <c r="X6" s="2" t="inlineStr">
        <is>
          <t>OC 6"</t>
        </is>
      </c>
      <c r="Y6" s="2" t="inlineStr">
        <is>
          <t>OC 8"</t>
        </is>
      </c>
      <c r="Z6" s="2" t="inlineStr">
        <is>
          <t>Bonus</t>
        </is>
      </c>
      <c r="AA6" s="3" t="inlineStr">
        <is>
          <t>Other Pay</t>
        </is>
      </c>
      <c r="AB6" s="10" t="inlineStr">
        <is>
          <t>Vacation</t>
        </is>
      </c>
      <c r="AC6" s="43" t="inlineStr">
        <is>
          <t>Shop</t>
        </is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E15" sqref="E15"/>
    </sheetView>
  </sheetViews>
  <sheetFormatPr baseColWidth="8" defaultColWidth="8.81640625" defaultRowHeight="16.5"/>
  <cols>
    <col width="21.1796875" customWidth="1" style="11" min="1" max="1"/>
    <col width="16.26953125" customWidth="1" style="11" min="2" max="2"/>
    <col width="8.81640625" customWidth="1" style="11" min="3" max="16384"/>
  </cols>
  <sheetData>
    <row r="1">
      <c r="A1" s="24" t="inlineStr">
        <is>
          <t>Pay Rates</t>
        </is>
      </c>
    </row>
    <row r="2">
      <c r="A2" s="25" t="inlineStr">
        <is>
          <t>Name</t>
        </is>
      </c>
      <c r="B2" s="25" t="inlineStr">
        <is>
          <t>Rate</t>
        </is>
      </c>
    </row>
    <row r="3">
      <c r="A3" s="26" t="inlineStr">
        <is>
          <t>Batt &gt;10ft</t>
        </is>
      </c>
      <c r="B3" s="27" t="n">
        <v>0.09</v>
      </c>
    </row>
    <row r="4">
      <c r="A4" s="26" t="inlineStr">
        <is>
          <t>Batt &lt;10ft</t>
        </is>
      </c>
      <c r="B4" s="27" t="n">
        <v>0.1</v>
      </c>
    </row>
    <row r="5">
      <c r="A5" s="26" t="inlineStr">
        <is>
          <t>Soffit - Existing</t>
        </is>
      </c>
      <c r="B5" s="27" t="n">
        <v>2.5</v>
      </c>
    </row>
    <row r="6">
      <c r="A6" s="26" t="inlineStr">
        <is>
          <t>Bibs - Full Install</t>
        </is>
      </c>
      <c r="B6" s="27" t="n">
        <v>0.2</v>
      </c>
    </row>
    <row r="7">
      <c r="A7" s="26" t="inlineStr">
        <is>
          <t>Bibs - Netting</t>
        </is>
      </c>
      <c r="B7" s="27" t="n">
        <v>0.06</v>
      </c>
    </row>
    <row r="8">
      <c r="A8" s="26" t="inlineStr">
        <is>
          <t>Bibs - Air Tack</t>
        </is>
      </c>
      <c r="B8" s="27" t="n">
        <v>0.06</v>
      </c>
    </row>
    <row r="9">
      <c r="A9" s="26" t="inlineStr">
        <is>
          <t>Bibs - Blow</t>
        </is>
      </c>
      <c r="B9" s="27" t="n">
        <v>0.08</v>
      </c>
    </row>
    <row r="10">
      <c r="A10" s="26" t="inlineStr">
        <is>
          <t>R-19 Blow</t>
        </is>
      </c>
      <c r="B10" s="27" t="n">
        <v>0.08</v>
      </c>
    </row>
    <row r="11">
      <c r="A11" s="26" t="inlineStr">
        <is>
          <t>R-30 Blow</t>
        </is>
      </c>
      <c r="B11" s="27" t="n">
        <v>0.09</v>
      </c>
    </row>
    <row r="12">
      <c r="A12" s="26" t="inlineStr">
        <is>
          <t>R-38/40 Blow</t>
        </is>
      </c>
      <c r="B12" s="27" t="n">
        <v>0.1</v>
      </c>
    </row>
    <row r="13">
      <c r="A13" s="26" t="inlineStr">
        <is>
          <t>R-49/50 Blow</t>
        </is>
      </c>
      <c r="B13" s="27" t="n">
        <v>0.11</v>
      </c>
    </row>
    <row r="14">
      <c r="A14" s="26" t="inlineStr">
        <is>
          <t>Cellulose - Attic</t>
        </is>
      </c>
      <c r="B14" s="27" t="n">
        <v>0.1</v>
      </c>
    </row>
    <row r="15">
      <c r="A15" s="26" t="inlineStr">
        <is>
          <t>Closed Cell &gt; 1"</t>
        </is>
      </c>
      <c r="B15" s="27" t="n">
        <v>0.22</v>
      </c>
    </row>
    <row r="16">
      <c r="A16" s="26" t="inlineStr">
        <is>
          <t>Closed Cell &gt;= 2"</t>
        </is>
      </c>
      <c r="B16" s="27" t="n">
        <v>0.22</v>
      </c>
    </row>
    <row r="17">
      <c r="A17" s="26" t="inlineStr">
        <is>
          <t>Closed Cell &lt;= 3"</t>
        </is>
      </c>
      <c r="B17" s="27" t="n">
        <v>0.33</v>
      </c>
    </row>
    <row r="18">
      <c r="A18" s="26" t="inlineStr">
        <is>
          <t xml:space="preserve">Open Cell &gt;= 6" </t>
        </is>
      </c>
      <c r="B18" s="27" t="n">
        <v>0.2</v>
      </c>
    </row>
    <row r="19">
      <c r="A19" s="26" t="inlineStr">
        <is>
          <t>Open Cell &lt;= 8"</t>
        </is>
      </c>
      <c r="B19" s="27" t="n">
        <v>0.22</v>
      </c>
    </row>
    <row r="20">
      <c r="A20" s="26" t="inlineStr">
        <is>
          <t>Soffit - Existing</t>
        </is>
      </c>
      <c r="B20" s="27" t="n">
        <v>2.5</v>
      </c>
    </row>
    <row r="21">
      <c r="A21" s="26" t="inlineStr">
        <is>
          <t>Vacation Day Pay</t>
        </is>
      </c>
      <c r="B21" s="27" t="n">
        <v>130</v>
      </c>
    </row>
    <row r="22">
      <c r="A22" t="inlineStr">
        <is>
          <t>Closed Cell 3/4"</t>
        </is>
      </c>
      <c r="B22" t="n">
        <v>0.15</v>
      </c>
    </row>
    <row r="23">
      <c r="A23" t="inlineStr">
        <is>
          <t>Open Cell &gt;= 4"</t>
        </is>
      </c>
      <c r="B23" t="n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2022-11-20T15:26:13Z</dcterms:created>
  <dcterms:modified xsi:type="dcterms:W3CDTF">2025-01-23T21:00:00Z</dcterms:modified>
  <cp:lastModifiedBy>Kenneth Ray</cp:lastModifiedBy>
  <cp:lastPrinted>2023-01-26T00:09:34Z</cp:lastPrinted>
</cp:coreProperties>
</file>