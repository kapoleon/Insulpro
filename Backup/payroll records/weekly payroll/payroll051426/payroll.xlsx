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51426\"/>
    </mc:Choice>
  </mc:AlternateContent>
  <xr:revisionPtr revIDLastSave="0" documentId="13_ncr:1_{B41CCC4E-2899-4A5F-9E1E-8177F4D11DC5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K33" i="8"/>
  <c r="C33" i="8"/>
  <c r="I30" i="8"/>
  <c r="J28" i="8"/>
  <c r="I28" i="8"/>
  <c r="J27" i="8"/>
  <c r="J26" i="8"/>
  <c r="I26" i="8"/>
  <c r="I32" i="8" s="1"/>
  <c r="J25" i="8"/>
  <c r="I25" i="8"/>
  <c r="I31" i="8" s="1"/>
  <c r="J24" i="8"/>
  <c r="I24" i="8"/>
  <c r="G24" i="8"/>
  <c r="E24" i="8"/>
  <c r="J23" i="8"/>
  <c r="I23" i="8"/>
  <c r="I29" i="8" s="1"/>
  <c r="G23" i="8"/>
  <c r="E23" i="8"/>
  <c r="D23" i="8"/>
  <c r="C23" i="8"/>
  <c r="M22" i="8"/>
  <c r="M33" i="8" s="1"/>
  <c r="L22" i="8"/>
  <c r="L33" i="8" s="1"/>
  <c r="K22" i="8"/>
  <c r="J22" i="8"/>
  <c r="J33" i="8" s="1"/>
  <c r="I22" i="8"/>
  <c r="H22" i="8"/>
  <c r="H33" i="8" s="1"/>
  <c r="G22" i="8"/>
  <c r="G33" i="8" s="1"/>
  <c r="F22" i="8"/>
  <c r="F33" i="8" s="1"/>
  <c r="E22" i="8"/>
  <c r="E33" i="8" s="1"/>
  <c r="D22" i="8"/>
  <c r="D33" i="8" s="1"/>
  <c r="C22" i="8"/>
  <c r="B22" i="8"/>
  <c r="B33" i="8" s="1"/>
  <c r="A22" i="8"/>
  <c r="A33" i="8" s="1"/>
  <c r="K15" i="8"/>
  <c r="F15" i="8"/>
  <c r="C15" i="8"/>
  <c r="I12" i="8"/>
  <c r="J10" i="8"/>
  <c r="I10" i="8"/>
  <c r="J9" i="8"/>
  <c r="J8" i="8"/>
  <c r="I8" i="8"/>
  <c r="I14" i="8" s="1"/>
  <c r="J7" i="8"/>
  <c r="I7" i="8"/>
  <c r="I13" i="8" s="1"/>
  <c r="J6" i="8"/>
  <c r="I6" i="8"/>
  <c r="G6" i="8"/>
  <c r="E6" i="8"/>
  <c r="J5" i="8"/>
  <c r="I5" i="8"/>
  <c r="I11" i="8" s="1"/>
  <c r="G5" i="8"/>
  <c r="E5" i="8"/>
  <c r="D5" i="8"/>
  <c r="C5" i="8"/>
  <c r="M4" i="8"/>
  <c r="M15" i="8" s="1"/>
  <c r="L4" i="8"/>
  <c r="L15" i="8" s="1"/>
  <c r="K4" i="8"/>
  <c r="J4" i="8"/>
  <c r="J15" i="8" s="1"/>
  <c r="I4" i="8"/>
  <c r="H4" i="8"/>
  <c r="H15" i="8" s="1"/>
  <c r="G4" i="8"/>
  <c r="G15" i="8" s="1"/>
  <c r="F4" i="8"/>
  <c r="E4" i="8"/>
  <c r="E15" i="8" s="1"/>
  <c r="D4" i="8"/>
  <c r="D15" i="8" s="1"/>
  <c r="C4" i="8"/>
  <c r="B4" i="8"/>
  <c r="B15" i="8" s="1"/>
  <c r="A4" i="8"/>
  <c r="A15" i="8" s="1"/>
  <c r="K33" i="7"/>
  <c r="F33" i="7"/>
  <c r="C33" i="7"/>
  <c r="I30" i="7"/>
  <c r="J28" i="7"/>
  <c r="I28" i="7"/>
  <c r="J27" i="7"/>
  <c r="J26" i="7"/>
  <c r="I26" i="7"/>
  <c r="I32" i="7" s="1"/>
  <c r="J25" i="7"/>
  <c r="I25" i="7"/>
  <c r="I31" i="7" s="1"/>
  <c r="J24" i="7"/>
  <c r="I24" i="7"/>
  <c r="G24" i="7"/>
  <c r="E24" i="7"/>
  <c r="J23" i="7"/>
  <c r="I23" i="7"/>
  <c r="I29" i="7" s="1"/>
  <c r="G23" i="7"/>
  <c r="E23" i="7"/>
  <c r="D23" i="7"/>
  <c r="C23" i="7"/>
  <c r="M22" i="7"/>
  <c r="M33" i="7" s="1"/>
  <c r="L22" i="7"/>
  <c r="L33" i="7" s="1"/>
  <c r="K22" i="7"/>
  <c r="J22" i="7"/>
  <c r="J33" i="7" s="1"/>
  <c r="I22" i="7"/>
  <c r="H22" i="7"/>
  <c r="H33" i="7" s="1"/>
  <c r="G22" i="7"/>
  <c r="G33" i="7" s="1"/>
  <c r="F22" i="7"/>
  <c r="E22" i="7"/>
  <c r="E33" i="7" s="1"/>
  <c r="D22" i="7"/>
  <c r="D33" i="7" s="1"/>
  <c r="C22" i="7"/>
  <c r="B22" i="7"/>
  <c r="B33" i="7" s="1"/>
  <c r="A22" i="7"/>
  <c r="A33" i="7" s="1"/>
  <c r="K15" i="7"/>
  <c r="F15" i="7"/>
  <c r="C15" i="7"/>
  <c r="I12" i="7"/>
  <c r="J10" i="7"/>
  <c r="I10" i="7"/>
  <c r="J9" i="7"/>
  <c r="J8" i="7"/>
  <c r="I8" i="7"/>
  <c r="I14" i="7" s="1"/>
  <c r="J7" i="7"/>
  <c r="I7" i="7"/>
  <c r="I13" i="7" s="1"/>
  <c r="J6" i="7"/>
  <c r="I6" i="7"/>
  <c r="G6" i="7"/>
  <c r="E6" i="7"/>
  <c r="J5" i="7"/>
  <c r="I5" i="7"/>
  <c r="I11" i="7" s="1"/>
  <c r="G5" i="7"/>
  <c r="E5" i="7"/>
  <c r="D5" i="7"/>
  <c r="C5" i="7"/>
  <c r="M4" i="7"/>
  <c r="M15" i="7" s="1"/>
  <c r="L4" i="7"/>
  <c r="L15" i="7" s="1"/>
  <c r="K4" i="7"/>
  <c r="J4" i="7"/>
  <c r="J15" i="7" s="1"/>
  <c r="I4" i="7"/>
  <c r="H4" i="7"/>
  <c r="H15" i="7" s="1"/>
  <c r="G4" i="7"/>
  <c r="G15" i="7" s="1"/>
  <c r="F4" i="7"/>
  <c r="E4" i="7"/>
  <c r="E15" i="7" s="1"/>
  <c r="D4" i="7"/>
  <c r="D15" i="7" s="1"/>
  <c r="C4" i="7"/>
  <c r="B4" i="7"/>
  <c r="B15" i="7" s="1"/>
  <c r="A4" i="7"/>
  <c r="A15" i="7" s="1"/>
  <c r="K33" i="6"/>
  <c r="F33" i="6"/>
  <c r="C33" i="6"/>
  <c r="I30" i="6"/>
  <c r="J28" i="6"/>
  <c r="I28" i="6"/>
  <c r="J27" i="6"/>
  <c r="J26" i="6"/>
  <c r="I26" i="6"/>
  <c r="I32" i="6" s="1"/>
  <c r="J25" i="6"/>
  <c r="I25" i="6"/>
  <c r="I31" i="6" s="1"/>
  <c r="J24" i="6"/>
  <c r="I24" i="6"/>
  <c r="G24" i="6"/>
  <c r="E24" i="6"/>
  <c r="J23" i="6"/>
  <c r="I23" i="6"/>
  <c r="I29" i="6" s="1"/>
  <c r="G23" i="6"/>
  <c r="E23" i="6"/>
  <c r="D23" i="6"/>
  <c r="C23" i="6"/>
  <c r="M22" i="6"/>
  <c r="M33" i="6" s="1"/>
  <c r="L22" i="6"/>
  <c r="L33" i="6" s="1"/>
  <c r="K22" i="6"/>
  <c r="J22" i="6"/>
  <c r="J33" i="6" s="1"/>
  <c r="I22" i="6"/>
  <c r="H22" i="6"/>
  <c r="H33" i="6" s="1"/>
  <c r="G22" i="6"/>
  <c r="G33" i="6" s="1"/>
  <c r="F22" i="6"/>
  <c r="E22" i="6"/>
  <c r="E33" i="6" s="1"/>
  <c r="D22" i="6"/>
  <c r="D33" i="6" s="1"/>
  <c r="C22" i="6"/>
  <c r="B22" i="6"/>
  <c r="B33" i="6" s="1"/>
  <c r="A22" i="6"/>
  <c r="A33" i="6" s="1"/>
  <c r="K15" i="6"/>
  <c r="F15" i="6"/>
  <c r="C15" i="6"/>
  <c r="I12" i="6"/>
  <c r="J10" i="6"/>
  <c r="I10" i="6"/>
  <c r="J9" i="6"/>
  <c r="J8" i="6"/>
  <c r="I8" i="6"/>
  <c r="I14" i="6" s="1"/>
  <c r="J7" i="6"/>
  <c r="I7" i="6"/>
  <c r="I13" i="6" s="1"/>
  <c r="J6" i="6"/>
  <c r="I6" i="6"/>
  <c r="G6" i="6"/>
  <c r="E6" i="6"/>
  <c r="J5" i="6"/>
  <c r="I5" i="6"/>
  <c r="I11" i="6" s="1"/>
  <c r="G5" i="6"/>
  <c r="E5" i="6"/>
  <c r="D5" i="6"/>
  <c r="C5" i="6"/>
  <c r="M4" i="6"/>
  <c r="M15" i="6" s="1"/>
  <c r="L4" i="6"/>
  <c r="L15" i="6" s="1"/>
  <c r="K4" i="6"/>
  <c r="J4" i="6"/>
  <c r="J15" i="6" s="1"/>
  <c r="I4" i="6"/>
  <c r="H4" i="6"/>
  <c r="H15" i="6" s="1"/>
  <c r="G4" i="6"/>
  <c r="G15" i="6" s="1"/>
  <c r="F4" i="6"/>
  <c r="E4" i="6"/>
  <c r="E15" i="6" s="1"/>
  <c r="D4" i="6"/>
  <c r="D15" i="6" s="1"/>
  <c r="C4" i="6"/>
  <c r="B4" i="6"/>
  <c r="B15" i="6" s="1"/>
  <c r="A4" i="6"/>
  <c r="A15" i="6" s="1"/>
  <c r="K33" i="5"/>
  <c r="F33" i="5"/>
  <c r="C33" i="5"/>
  <c r="I30" i="5"/>
  <c r="J28" i="5"/>
  <c r="I28" i="5"/>
  <c r="J27" i="5"/>
  <c r="J26" i="5"/>
  <c r="I26" i="5"/>
  <c r="I32" i="5" s="1"/>
  <c r="J25" i="5"/>
  <c r="I25" i="5"/>
  <c r="I31" i="5" s="1"/>
  <c r="J24" i="5"/>
  <c r="I24" i="5"/>
  <c r="G24" i="5"/>
  <c r="E24" i="5"/>
  <c r="J23" i="5"/>
  <c r="I23" i="5"/>
  <c r="I29" i="5" s="1"/>
  <c r="G23" i="5"/>
  <c r="E23" i="5"/>
  <c r="D23" i="5"/>
  <c r="C23" i="5"/>
  <c r="M22" i="5"/>
  <c r="M33" i="5" s="1"/>
  <c r="L22" i="5"/>
  <c r="L33" i="5" s="1"/>
  <c r="K22" i="5"/>
  <c r="J22" i="5"/>
  <c r="J33" i="5" s="1"/>
  <c r="I22" i="5"/>
  <c r="H22" i="5"/>
  <c r="H33" i="5" s="1"/>
  <c r="G22" i="5"/>
  <c r="G33" i="5" s="1"/>
  <c r="F22" i="5"/>
  <c r="E22" i="5"/>
  <c r="E33" i="5" s="1"/>
  <c r="D22" i="5"/>
  <c r="D33" i="5" s="1"/>
  <c r="C22" i="5"/>
  <c r="B22" i="5"/>
  <c r="B33" i="5" s="1"/>
  <c r="A22" i="5"/>
  <c r="A33" i="5" s="1"/>
  <c r="K15" i="5"/>
  <c r="F15" i="5"/>
  <c r="C15" i="5"/>
  <c r="I12" i="5"/>
  <c r="J10" i="5"/>
  <c r="I10" i="5"/>
  <c r="J9" i="5"/>
  <c r="J8" i="5"/>
  <c r="I8" i="5"/>
  <c r="I14" i="5" s="1"/>
  <c r="J7" i="5"/>
  <c r="I7" i="5"/>
  <c r="I13" i="5" s="1"/>
  <c r="J6" i="5"/>
  <c r="I6" i="5"/>
  <c r="G6" i="5"/>
  <c r="E6" i="5"/>
  <c r="J5" i="5"/>
  <c r="I5" i="5"/>
  <c r="I11" i="5" s="1"/>
  <c r="G5" i="5"/>
  <c r="E5" i="5"/>
  <c r="D5" i="5"/>
  <c r="C5" i="5"/>
  <c r="M4" i="5"/>
  <c r="M15" i="5" s="1"/>
  <c r="L4" i="5"/>
  <c r="L15" i="5" s="1"/>
  <c r="K4" i="5"/>
  <c r="J4" i="5"/>
  <c r="J15" i="5" s="1"/>
  <c r="I4" i="5"/>
  <c r="H4" i="5"/>
  <c r="H15" i="5" s="1"/>
  <c r="G4" i="5"/>
  <c r="G15" i="5" s="1"/>
  <c r="F4" i="5"/>
  <c r="E4" i="5"/>
  <c r="E15" i="5" s="1"/>
  <c r="D4" i="5"/>
  <c r="D15" i="5" s="1"/>
  <c r="C4" i="5"/>
  <c r="B4" i="5"/>
  <c r="B15" i="5" s="1"/>
  <c r="A4" i="5"/>
  <c r="A15" i="5" s="1"/>
  <c r="K33" i="4"/>
  <c r="F33" i="4"/>
  <c r="C33" i="4"/>
  <c r="I30" i="4"/>
  <c r="J28" i="4"/>
  <c r="I28" i="4"/>
  <c r="J27" i="4"/>
  <c r="J26" i="4"/>
  <c r="I26" i="4"/>
  <c r="I32" i="4" s="1"/>
  <c r="J25" i="4"/>
  <c r="I25" i="4"/>
  <c r="I31" i="4" s="1"/>
  <c r="J24" i="4"/>
  <c r="I24" i="4"/>
  <c r="G24" i="4"/>
  <c r="E24" i="4"/>
  <c r="J23" i="4"/>
  <c r="I23" i="4"/>
  <c r="I29" i="4" s="1"/>
  <c r="G23" i="4"/>
  <c r="E23" i="4"/>
  <c r="D23" i="4"/>
  <c r="C23" i="4"/>
  <c r="M22" i="4"/>
  <c r="M33" i="4" s="1"/>
  <c r="L22" i="4"/>
  <c r="L33" i="4" s="1"/>
  <c r="K22" i="4"/>
  <c r="J22" i="4"/>
  <c r="J33" i="4" s="1"/>
  <c r="I22" i="4"/>
  <c r="H22" i="4"/>
  <c r="H33" i="4" s="1"/>
  <c r="G22" i="4"/>
  <c r="G33" i="4" s="1"/>
  <c r="F22" i="4"/>
  <c r="E22" i="4"/>
  <c r="E33" i="4" s="1"/>
  <c r="D22" i="4"/>
  <c r="D33" i="4" s="1"/>
  <c r="C22" i="4"/>
  <c r="B22" i="4"/>
  <c r="B33" i="4" s="1"/>
  <c r="A22" i="4"/>
  <c r="A33" i="4" s="1"/>
  <c r="K15" i="4"/>
  <c r="F15" i="4"/>
  <c r="C15" i="4"/>
  <c r="I12" i="4"/>
  <c r="J10" i="4"/>
  <c r="I10" i="4"/>
  <c r="J9" i="4"/>
  <c r="J8" i="4"/>
  <c r="I8" i="4"/>
  <c r="I14" i="4" s="1"/>
  <c r="J7" i="4"/>
  <c r="I7" i="4"/>
  <c r="I13" i="4" s="1"/>
  <c r="J6" i="4"/>
  <c r="I6" i="4"/>
  <c r="G6" i="4"/>
  <c r="E6" i="4"/>
  <c r="J5" i="4"/>
  <c r="I5" i="4"/>
  <c r="I11" i="4" s="1"/>
  <c r="G5" i="4"/>
  <c r="E5" i="4"/>
  <c r="D5" i="4"/>
  <c r="C5" i="4"/>
  <c r="M4" i="4"/>
  <c r="M15" i="4" s="1"/>
  <c r="L4" i="4"/>
  <c r="L15" i="4" s="1"/>
  <c r="K4" i="4"/>
  <c r="J4" i="4"/>
  <c r="J15" i="4" s="1"/>
  <c r="I4" i="4"/>
  <c r="H4" i="4"/>
  <c r="H15" i="4" s="1"/>
  <c r="G4" i="4"/>
  <c r="G15" i="4" s="1"/>
  <c r="F4" i="4"/>
  <c r="E4" i="4"/>
  <c r="E15" i="4" s="1"/>
  <c r="D4" i="4"/>
  <c r="D15" i="4" s="1"/>
  <c r="C4" i="4"/>
  <c r="B4" i="4"/>
  <c r="B15" i="4" s="1"/>
  <c r="A4" i="4"/>
  <c r="A15" i="4" s="1"/>
  <c r="K33" i="3"/>
  <c r="F33" i="3"/>
  <c r="C33" i="3"/>
  <c r="I30" i="3"/>
  <c r="J28" i="3"/>
  <c r="I28" i="3"/>
  <c r="J27" i="3"/>
  <c r="J26" i="3"/>
  <c r="I26" i="3"/>
  <c r="I32" i="3" s="1"/>
  <c r="J25" i="3"/>
  <c r="I25" i="3"/>
  <c r="I31" i="3" s="1"/>
  <c r="J24" i="3"/>
  <c r="I24" i="3"/>
  <c r="G24" i="3"/>
  <c r="E24" i="3"/>
  <c r="J23" i="3"/>
  <c r="I23" i="3"/>
  <c r="I29" i="3" s="1"/>
  <c r="G23" i="3"/>
  <c r="E23" i="3"/>
  <c r="D23" i="3"/>
  <c r="C23" i="3"/>
  <c r="M22" i="3"/>
  <c r="M33" i="3" s="1"/>
  <c r="L22" i="3"/>
  <c r="L33" i="3" s="1"/>
  <c r="K22" i="3"/>
  <c r="J22" i="3"/>
  <c r="J33" i="3" s="1"/>
  <c r="I22" i="3"/>
  <c r="H22" i="3"/>
  <c r="H33" i="3" s="1"/>
  <c r="G22" i="3"/>
  <c r="G33" i="3" s="1"/>
  <c r="F22" i="3"/>
  <c r="E22" i="3"/>
  <c r="E33" i="3" s="1"/>
  <c r="D22" i="3"/>
  <c r="D33" i="3" s="1"/>
  <c r="C22" i="3"/>
  <c r="B22" i="3"/>
  <c r="B33" i="3" s="1"/>
  <c r="A22" i="3"/>
  <c r="A33" i="3" s="1"/>
  <c r="K15" i="3"/>
  <c r="F15" i="3"/>
  <c r="C15" i="3"/>
  <c r="I12" i="3"/>
  <c r="J10" i="3"/>
  <c r="I10" i="3"/>
  <c r="J9" i="3"/>
  <c r="J8" i="3"/>
  <c r="I8" i="3"/>
  <c r="I14" i="3" s="1"/>
  <c r="J7" i="3"/>
  <c r="I7" i="3"/>
  <c r="I13" i="3" s="1"/>
  <c r="J6" i="3"/>
  <c r="I6" i="3"/>
  <c r="G6" i="3"/>
  <c r="E6" i="3"/>
  <c r="J5" i="3"/>
  <c r="I5" i="3"/>
  <c r="I11" i="3" s="1"/>
  <c r="G5" i="3"/>
  <c r="E5" i="3"/>
  <c r="D5" i="3"/>
  <c r="C5" i="3"/>
  <c r="M4" i="3"/>
  <c r="M15" i="3" s="1"/>
  <c r="L4" i="3"/>
  <c r="L15" i="3" s="1"/>
  <c r="K4" i="3"/>
  <c r="J4" i="3"/>
  <c r="J15" i="3" s="1"/>
  <c r="I4" i="3"/>
  <c r="H4" i="3"/>
  <c r="H15" i="3" s="1"/>
  <c r="G4" i="3"/>
  <c r="G15" i="3" s="1"/>
  <c r="F4" i="3"/>
  <c r="E4" i="3"/>
  <c r="E15" i="3" s="1"/>
  <c r="D4" i="3"/>
  <c r="D15" i="3" s="1"/>
  <c r="C4" i="3"/>
  <c r="B4" i="3"/>
  <c r="B15" i="3" s="1"/>
  <c r="A4" i="3"/>
  <c r="A15" i="3" s="1"/>
  <c r="K33" i="2"/>
  <c r="F33" i="2"/>
  <c r="C33" i="2"/>
  <c r="I30" i="2"/>
  <c r="J28" i="2"/>
  <c r="I28" i="2"/>
  <c r="J27" i="2"/>
  <c r="J26" i="2"/>
  <c r="I26" i="2"/>
  <c r="I32" i="2" s="1"/>
  <c r="J25" i="2"/>
  <c r="I25" i="2"/>
  <c r="I31" i="2" s="1"/>
  <c r="J24" i="2"/>
  <c r="I24" i="2"/>
  <c r="G24" i="2"/>
  <c r="E24" i="2"/>
  <c r="J23" i="2"/>
  <c r="I23" i="2"/>
  <c r="I29" i="2" s="1"/>
  <c r="G23" i="2"/>
  <c r="E23" i="2"/>
  <c r="D23" i="2"/>
  <c r="C23" i="2"/>
  <c r="M22" i="2"/>
  <c r="M33" i="2" s="1"/>
  <c r="L22" i="2"/>
  <c r="L33" i="2" s="1"/>
  <c r="K22" i="2"/>
  <c r="J22" i="2"/>
  <c r="J33" i="2" s="1"/>
  <c r="I22" i="2"/>
  <c r="H22" i="2"/>
  <c r="H33" i="2" s="1"/>
  <c r="G22" i="2"/>
  <c r="G33" i="2" s="1"/>
  <c r="F22" i="2"/>
  <c r="E22" i="2"/>
  <c r="E33" i="2" s="1"/>
  <c r="D22" i="2"/>
  <c r="D33" i="2" s="1"/>
  <c r="C22" i="2"/>
  <c r="B22" i="2"/>
  <c r="B33" i="2" s="1"/>
  <c r="A22" i="2"/>
  <c r="A33" i="2" s="1"/>
  <c r="K15" i="2"/>
  <c r="F15" i="2"/>
  <c r="C15" i="2"/>
  <c r="I12" i="2"/>
  <c r="J10" i="2"/>
  <c r="I10" i="2"/>
  <c r="J9" i="2"/>
  <c r="J8" i="2"/>
  <c r="I8" i="2"/>
  <c r="I14" i="2" s="1"/>
  <c r="J7" i="2"/>
  <c r="I7" i="2"/>
  <c r="I13" i="2" s="1"/>
  <c r="J6" i="2"/>
  <c r="I6" i="2"/>
  <c r="G6" i="2"/>
  <c r="E6" i="2"/>
  <c r="J5" i="2"/>
  <c r="I5" i="2"/>
  <c r="I11" i="2" s="1"/>
  <c r="G5" i="2"/>
  <c r="E5" i="2"/>
  <c r="D5" i="2"/>
  <c r="C5" i="2"/>
  <c r="M4" i="2"/>
  <c r="M15" i="2" s="1"/>
  <c r="L4" i="2"/>
  <c r="L15" i="2" s="1"/>
  <c r="K4" i="2"/>
  <c r="J4" i="2"/>
  <c r="J15" i="2" s="1"/>
  <c r="I4" i="2"/>
  <c r="H4" i="2"/>
  <c r="H15" i="2" s="1"/>
  <c r="G4" i="2"/>
  <c r="G15" i="2" s="1"/>
  <c r="F4" i="2"/>
  <c r="E4" i="2"/>
  <c r="E15" i="2" s="1"/>
  <c r="D4" i="2"/>
  <c r="D15" i="2" s="1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15" i="2" l="1"/>
  <c r="C6" i="1"/>
  <c r="B6" i="1" s="1"/>
  <c r="B16" i="3"/>
  <c r="I15" i="4"/>
  <c r="C8" i="1" s="1"/>
  <c r="B8" i="1" s="1"/>
  <c r="I15" i="6"/>
  <c r="C12" i="1" s="1"/>
  <c r="B12" i="1" s="1"/>
  <c r="I15" i="8"/>
  <c r="B16" i="8" s="1"/>
  <c r="I33" i="2"/>
  <c r="B34" i="2" s="1"/>
  <c r="I33" i="4"/>
  <c r="C9" i="1" s="1"/>
  <c r="B9" i="1" s="1"/>
  <c r="B34" i="5"/>
  <c r="I33" i="6"/>
  <c r="C13" i="1" s="1"/>
  <c r="B13" i="1" s="1"/>
  <c r="B34" i="7"/>
  <c r="C15" i="1"/>
  <c r="B15" i="1" s="1"/>
  <c r="I33" i="8"/>
  <c r="B34" i="8" s="1"/>
  <c r="C4" i="1"/>
  <c r="B4" i="1" s="1"/>
  <c r="B16" i="2"/>
  <c r="I15" i="3"/>
  <c r="B16" i="4"/>
  <c r="I15" i="5"/>
  <c r="C10" i="1" s="1"/>
  <c r="B10" i="1" s="1"/>
  <c r="I15" i="7"/>
  <c r="C14" i="1" s="1"/>
  <c r="B14" i="1" s="1"/>
  <c r="C16" i="1"/>
  <c r="B16" i="1" s="1"/>
  <c r="I33" i="3"/>
  <c r="B34" i="3" s="1"/>
  <c r="B34" i="4"/>
  <c r="I33" i="5"/>
  <c r="C11" i="1" s="1"/>
  <c r="B11" i="1" s="1"/>
  <c r="B34" i="6"/>
  <c r="I33" i="7"/>
  <c r="C17" i="1"/>
  <c r="B17" i="1" s="1"/>
  <c r="I15" i="9"/>
  <c r="C18" i="1" s="1"/>
  <c r="B18" i="1" s="1"/>
  <c r="C5" i="1" l="1"/>
  <c r="B5" i="1" s="1"/>
  <c r="B16" i="7"/>
  <c r="B16" i="5"/>
  <c r="B16" i="9"/>
  <c r="B16" i="6"/>
  <c r="C7" i="1"/>
  <c r="B7" i="1" s="1"/>
  <c r="B29" i="1" l="1"/>
  <c r="B30" i="1" s="1"/>
</calcChain>
</file>

<file path=xl/sharedStrings.xml><?xml version="1.0" encoding="utf-8"?>
<sst xmlns="http://schemas.openxmlformats.org/spreadsheetml/2006/main" count="1254" uniqueCount="99">
  <si>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</si>
  <si>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</si>
  <si>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</si>
  <si>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</si>
  <si>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</si>
  <si>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</si>
  <si>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</si>
  <si>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</si>
  <si>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</si>
  <si>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</si>
  <si>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</si>
  <si>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</si>
  <si>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</si>
  <si>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</si>
  <si>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</si>
  <si>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</si>
  <si>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</si>
  <si>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</si>
  <si>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</si>
  <si>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</si>
  <si>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</si>
  <si>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</si>
  <si>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</si>
  <si>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</si>
  <si>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</si>
  <si>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</si>
  <si>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</si>
  <si>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</si>
  <si>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</si>
  <si>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</si>
  <si>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</si>
  <si>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</si>
  <si>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</si>
  <si>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</si>
  <si>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</si>
  <si>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</si>
  <si>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</si>
  <si>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</si>
  <si>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</si>
  <si>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</si>
  <si>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</si>
  <si>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</si>
  <si>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</si>
  <si>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</si>
  <si>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</si>
  <si>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</si>
  <si>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</si>
  <si>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</si>
  <si>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</si>
  <si>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</si>
  <si>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</si>
  <si>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</si>
  <si>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</si>
  <si>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</si>
  <si>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</si>
  <si>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</si>
  <si>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</si>
  <si>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</si>
  <si>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</si>
  <si>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</si>
  <si>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</si>
  <si>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</si>
  <si>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>DANCO</t>
  </si>
  <si>
    <t>Niel Bryant</t>
  </si>
  <si>
    <t>Monday051426083533</t>
  </si>
  <si>
    <t>Com 1 107 s west st Fort Branch</t>
  </si>
  <si>
    <t>Com 1 107 s west st fort branch</t>
  </si>
  <si>
    <t>com 1 107 s west fort branch</t>
  </si>
  <si>
    <t>Steve Mulderink</t>
  </si>
  <si>
    <t>Monday051426085629</t>
  </si>
  <si>
    <t>CAC LL CF</t>
  </si>
  <si>
    <t>Com 1 8222 Paulie dr</t>
  </si>
  <si>
    <t>Brian Dillon</t>
  </si>
  <si>
    <t>Marsha Stewart</t>
  </si>
  <si>
    <t>OC  4"</t>
  </si>
  <si>
    <t>Thursday051426083456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</si>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</sst>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731.81</v>
      </c>
      <c r="C4" s="34">
        <f>SUM('Emp1&amp;Emp2'!A15:J15,'Emp1&amp;Emp2'!L15)</f>
        <v>731.81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956.08</v>
      </c>
      <c r="C5" s="34">
        <f>SUM('Emp1&amp;Emp2'!A33:J33,'Emp1&amp;Emp2'!L33)</f>
        <v>956.08</v>
      </c>
      <c r="D5" s="37">
        <f>'Emp1&amp;Emp2'!K22</f>
        <v>0</v>
      </c>
      <c r="E5" s="36"/>
    </row>
    <row r="6" spans="1:5" x14ac:dyDescent="0.3">
      <c r="A6" s="29" t="str">
        <f>'Emp3&amp;Emp4'!B1</f>
        <v>Jeremy Denton</v>
      </c>
      <c r="B6" s="33">
        <f t="shared" si="0"/>
        <v>618.19000000000005</v>
      </c>
      <c r="C6" s="34">
        <f>SUM('Emp3&amp;Emp4'!A15:J15,'Emp3&amp;Emp4'!L15)</f>
        <v>618.19000000000005</v>
      </c>
      <c r="D6" s="37">
        <f>'Emp3&amp;Emp4'!K4</f>
        <v>0</v>
      </c>
      <c r="E6" s="35"/>
    </row>
    <row r="7" spans="1:5" x14ac:dyDescent="0.3">
      <c r="A7" s="29" t="str">
        <f>'Emp3&amp;Emp4'!B19</f>
        <v>Glen Hayes</v>
      </c>
      <c r="B7" s="33">
        <f t="shared" si="0"/>
        <v>618.19000000000005</v>
      </c>
      <c r="C7" s="34">
        <f>SUM('Emp3&amp;Emp4'!A33:J33,'Emp3&amp;Emp4'!L33)</f>
        <v>618.19000000000005</v>
      </c>
      <c r="D7" s="37">
        <f>'Emp3&amp;Emp4'!K22</f>
        <v>0</v>
      </c>
      <c r="E7" s="35"/>
    </row>
    <row r="8" spans="1:5" x14ac:dyDescent="0.3">
      <c r="A8" s="29" t="str">
        <f>'Emp5&amp;Emp6'!B1</f>
        <v>Mike Mato</v>
      </c>
      <c r="B8" s="33">
        <f t="shared" si="0"/>
        <v>956.08</v>
      </c>
      <c r="C8" s="34">
        <f>SUM('Emp5&amp;Emp6'!A15:J15,'Emp5&amp;Emp6'!L15)</f>
        <v>956.08</v>
      </c>
      <c r="D8" s="37">
        <f>'Emp5&amp;Emp6'!K4</f>
        <v>0</v>
      </c>
      <c r="E8" s="35"/>
    </row>
    <row r="9" spans="1:5" x14ac:dyDescent="0.3">
      <c r="A9" s="29" t="str">
        <f>'Emp5&amp;Emp6'!B19</f>
        <v>Mike Mato Jr</v>
      </c>
      <c r="B9" s="33">
        <f t="shared" si="0"/>
        <v>956.08</v>
      </c>
      <c r="C9" s="34">
        <f>SUM('Emp5&amp;Emp6'!A33:J33,'Emp5&amp;Emp6'!L33)</f>
        <v>956.08</v>
      </c>
      <c r="D9" s="37">
        <f>'Emp5&amp;Emp6'!K22</f>
        <v>0</v>
      </c>
      <c r="E9" s="35"/>
    </row>
    <row r="10" spans="1:5" x14ac:dyDescent="0.3">
      <c r="A10" s="29" t="str">
        <f>'Emp7&amp;Emp8'!B1</f>
        <v>Brian Maikranz</v>
      </c>
      <c r="B10" s="33">
        <f t="shared" si="0"/>
        <v>618.19000000000005</v>
      </c>
      <c r="C10" s="34">
        <f>SUM('Emp7&amp;Emp8'!A15:J15,'Emp7&amp;Emp8'!L15)</f>
        <v>618.19000000000005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696.81</v>
      </c>
      <c r="C11" s="34">
        <f>SUM('Emp7&amp;Emp8'!A33:J33,'Emp7&amp;Emp8'!L33)</f>
        <v>696.81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6151.43</v>
      </c>
    </row>
    <row r="30" spans="1:5" x14ac:dyDescent="0.3">
      <c r="A30" s="12" t="s">
        <v>14</v>
      </c>
      <c r="B30" s="32">
        <f>SUM(B28:B29)</f>
        <v>8364.130000000001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opLeftCell="A7" workbookViewId="0">
      <selection activeCell="L6" sqref="L6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>
        <v>75</v>
      </c>
      <c r="M5" s="14"/>
    </row>
    <row r="6" spans="1:13" x14ac:dyDescent="0.3">
      <c r="A6" s="15"/>
      <c r="B6" s="15"/>
      <c r="C6" s="14"/>
      <c r="D6" s="14"/>
      <c r="E6" s="12">
        <f>Emp1Record!Z3</f>
        <v>210</v>
      </c>
      <c r="F6" s="15"/>
      <c r="G6" s="12">
        <f>Emp1Record!AA3</f>
        <v>120</v>
      </c>
      <c r="H6" s="15"/>
      <c r="I6" s="12">
        <f>Emp1Record!L3</f>
        <v>0</v>
      </c>
      <c r="J6" s="13">
        <f>Emp1Record!U3</f>
        <v>326.81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210</v>
      </c>
      <c r="F15" s="23">
        <f>SUM(F4)</f>
        <v>0</v>
      </c>
      <c r="G15" s="23">
        <f>SUM(G4:G6)</f>
        <v>120</v>
      </c>
      <c r="H15" s="23">
        <f>SUM(H4)</f>
        <v>0</v>
      </c>
      <c r="I15" s="23">
        <f>SUM(I10:I14)</f>
        <v>0</v>
      </c>
      <c r="J15" s="23">
        <f>SUM(J4:J10)</f>
        <v>326.81</v>
      </c>
      <c r="K15" s="23">
        <f>SUM(K4)</f>
        <v>0</v>
      </c>
      <c r="L15" s="23">
        <f>SUM(L4:L14)</f>
        <v>75</v>
      </c>
      <c r="M15" s="23">
        <f>SUM(M4)</f>
        <v>0</v>
      </c>
    </row>
    <row r="16" spans="1:13" x14ac:dyDescent="0.3">
      <c r="A16" s="19" t="s">
        <v>2</v>
      </c>
      <c r="B16" s="22">
        <f>SUM(A15:M15)</f>
        <v>731.81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500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302.64999999999998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63.33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901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90.100000000000009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63.33</v>
      </c>
      <c r="F33" s="23">
        <f>SUM(F22)</f>
        <v>500</v>
      </c>
      <c r="G33" s="23">
        <f>SUM(G22:G24)</f>
        <v>0</v>
      </c>
      <c r="H33" s="23">
        <f>SUM(H22)</f>
        <v>0</v>
      </c>
      <c r="I33" s="23">
        <f>SUM(I28:I32)</f>
        <v>90.100000000000009</v>
      </c>
      <c r="J33" s="23">
        <f>SUM(J22:J28)</f>
        <v>0</v>
      </c>
      <c r="K33" s="23">
        <f>SUM(K22)</f>
        <v>0</v>
      </c>
      <c r="L33" s="23">
        <f>SUM(L22:L32)</f>
        <v>302.64999999999998</v>
      </c>
      <c r="M33" s="23">
        <f>SUM(M22)</f>
        <v>0</v>
      </c>
    </row>
    <row r="34" spans="1:13" x14ac:dyDescent="0.3">
      <c r="A34" s="19" t="s">
        <v>2</v>
      </c>
      <c r="B34" s="22">
        <f>SUM(A33:M33)</f>
        <v>956.08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10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0</v>
      </c>
      <c r="B4" s="13">
        <f>Emp3Record!C3</f>
        <v>0</v>
      </c>
      <c r="C4" s="12">
        <f>Emp3Record!D3</f>
        <v>0</v>
      </c>
      <c r="D4" s="13">
        <f>Emp3Record!E3</f>
        <v>68.67</v>
      </c>
      <c r="E4" s="12">
        <f>Emp3Record!F3</f>
        <v>0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558</v>
      </c>
      <c r="J4" s="12">
        <f>Emp3Record!S3</f>
        <v>0</v>
      </c>
      <c r="K4" s="13">
        <f>Emp3Record!AB3</f>
        <v>0</v>
      </c>
      <c r="L4" s="39">
        <f>Emp3Record!AC3</f>
        <v>202.65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118.33</v>
      </c>
      <c r="D5" s="13">
        <f>Emp3Record!R3</f>
        <v>0</v>
      </c>
      <c r="E5" s="13">
        <f>Emp3Record!P3</f>
        <v>20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1139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44.64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113.9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118.33</v>
      </c>
      <c r="D15" s="23">
        <f>SUM(D4:D5)</f>
        <v>68.67</v>
      </c>
      <c r="E15" s="23">
        <f>SUM(E4:E6)</f>
        <v>20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158.54000000000002</v>
      </c>
      <c r="J15" s="23">
        <f>SUM(J4:J10)</f>
        <v>0</v>
      </c>
      <c r="K15" s="23">
        <f>SUM(K4)</f>
        <v>0</v>
      </c>
      <c r="L15" s="23">
        <f>SUM(L4:L14)</f>
        <v>252.65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618.19000000000005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0</v>
      </c>
      <c r="B22" s="13">
        <f>Emp4Record!C3</f>
        <v>0</v>
      </c>
      <c r="C22" s="12">
        <f>Emp4Record!D3</f>
        <v>0</v>
      </c>
      <c r="D22" s="13">
        <f>Emp4Record!E3</f>
        <v>68.67</v>
      </c>
      <c r="E22" s="12">
        <f>Emp4Record!F3</f>
        <v>0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558</v>
      </c>
      <c r="J22" s="12">
        <f>Emp4Record!S3</f>
        <v>0</v>
      </c>
      <c r="K22" s="13">
        <f>Emp4Record!AB3</f>
        <v>0</v>
      </c>
      <c r="L22" s="39">
        <f>Emp4Record!AC3</f>
        <v>202.65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118.33</v>
      </c>
      <c r="D23" s="13">
        <f>Emp4Record!R3</f>
        <v>0</v>
      </c>
      <c r="E23" s="13">
        <f>Emp4Record!P3</f>
        <v>20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50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1139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44.64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113.9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118.33</v>
      </c>
      <c r="D33" s="23">
        <f>SUM(D22:D23)</f>
        <v>68.67</v>
      </c>
      <c r="E33" s="23">
        <f>SUM(E22:E24)</f>
        <v>20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158.54000000000002</v>
      </c>
      <c r="J33" s="23">
        <f>SUM(J22:J28)</f>
        <v>0</v>
      </c>
      <c r="K33" s="23">
        <f>SUM(K22)</f>
        <v>0</v>
      </c>
      <c r="L33" s="23">
        <f>SUM(L22:L32)</f>
        <v>252.65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618.19000000000005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0" workbookViewId="0">
      <selection activeCell="L22" sqref="L22"/>
    </sheetView>
  </sheetViews>
  <sheetFormatPr defaultRowHeight="15" x14ac:dyDescent="0.25"/>
  <cols>
    <col min="2" max="2" width="10.570312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500</v>
      </c>
      <c r="G4" s="12">
        <f>Emp5Record!H3</f>
        <v>0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302.64999999999998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63.33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901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90.100000000000009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63.33</v>
      </c>
      <c r="F15" s="23">
        <f>SUM(F4)</f>
        <v>500</v>
      </c>
      <c r="G15" s="23">
        <f>SUM(G4:G6)</f>
        <v>0</v>
      </c>
      <c r="H15" s="23">
        <f>SUM(H4)</f>
        <v>0</v>
      </c>
      <c r="I15" s="23">
        <f>SUM(I10:I14)</f>
        <v>90.100000000000009</v>
      </c>
      <c r="J15" s="23">
        <f>SUM(J4:J10)</f>
        <v>0</v>
      </c>
      <c r="K15" s="23">
        <f>SUM(K4)</f>
        <v>0</v>
      </c>
      <c r="L15" s="23">
        <f>SUM(L4:L14)</f>
        <v>302.64999999999998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956.08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500</v>
      </c>
      <c r="G22" s="12">
        <f>Emp6Record!H3</f>
        <v>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302.64999999999998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63.33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901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90.100000000000009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63.33</v>
      </c>
      <c r="F33" s="23">
        <f>SUM(F22)</f>
        <v>500</v>
      </c>
      <c r="G33" s="23">
        <f>SUM(G22:G24)</f>
        <v>0</v>
      </c>
      <c r="H33" s="23">
        <f>SUM(H22)</f>
        <v>0</v>
      </c>
      <c r="I33" s="23">
        <f>SUM(I28:I32)</f>
        <v>90.100000000000009</v>
      </c>
      <c r="J33" s="23">
        <f>SUM(J22:J28)</f>
        <v>0</v>
      </c>
      <c r="K33" s="23">
        <f>SUM(K22)</f>
        <v>0</v>
      </c>
      <c r="L33" s="23">
        <f>SUM(L22:L32)</f>
        <v>302.64999999999998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956.08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6" sqref="L6"/>
    </sheetView>
  </sheetViews>
  <sheetFormatPr defaultRowHeight="15" x14ac:dyDescent="0.25"/>
  <cols>
    <col min="2" max="2" width="11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68.67</v>
      </c>
      <c r="E4" s="12">
        <f>Emp7Record!F3</f>
        <v>0</v>
      </c>
      <c r="F4" s="13">
        <f>Emp7Record!G3</f>
        <v>0</v>
      </c>
      <c r="G4" s="12">
        <f>Emp7Record!H3</f>
        <v>0</v>
      </c>
      <c r="H4" s="12">
        <f>Emp7Record!I3</f>
        <v>0</v>
      </c>
      <c r="I4" s="12">
        <f>Emp7Record!J3</f>
        <v>558</v>
      </c>
      <c r="J4" s="12">
        <f>Emp7Record!S3</f>
        <v>0</v>
      </c>
      <c r="K4" s="13">
        <f>Emp7Record!AB3</f>
        <v>0</v>
      </c>
      <c r="L4" s="39">
        <f>Emp7Record!AC3</f>
        <v>202.65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118.33</v>
      </c>
      <c r="D5" s="13">
        <f>Emp7Record!R3</f>
        <v>0</v>
      </c>
      <c r="E5" s="13">
        <f>Emp7Record!P3</f>
        <v>20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1139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44.64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113.9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118.33</v>
      </c>
      <c r="D15" s="23">
        <f>SUM(D4:D5)</f>
        <v>68.67</v>
      </c>
      <c r="E15" s="23">
        <f>SUM(E4:E6)</f>
        <v>20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158.54000000000002</v>
      </c>
      <c r="J15" s="23">
        <f>SUM(J4:J10)</f>
        <v>0</v>
      </c>
      <c r="K15" s="23">
        <f>SUM(K4)</f>
        <v>0</v>
      </c>
      <c r="L15" s="23">
        <f>SUM(L4:L14)</f>
        <v>252.65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618.19000000000005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210</v>
      </c>
      <c r="F24" s="15"/>
      <c r="G24" s="12">
        <f>Emp8Record!AA3</f>
        <v>120</v>
      </c>
      <c r="H24" s="15"/>
      <c r="I24" s="12">
        <f>Emp8Record!L3</f>
        <v>0</v>
      </c>
      <c r="J24" s="13">
        <f>Emp8Record!U3</f>
        <v>326.81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210</v>
      </c>
      <c r="F33" s="23">
        <f>SUM(F22)</f>
        <v>0</v>
      </c>
      <c r="G33" s="23">
        <f>SUM(G22:G24)</f>
        <v>120</v>
      </c>
      <c r="H33" s="23">
        <f>SUM(H22)</f>
        <v>0</v>
      </c>
      <c r="I33" s="23">
        <f>SUM(I28:I32)</f>
        <v>0</v>
      </c>
      <c r="J33" s="23">
        <f>SUM(J22:J28)</f>
        <v>326.81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696.81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9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326.81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210</v>
      </c>
      <c r="AA3" s="4">
        <f t="shared" si="0"/>
        <v>120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120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304.92</v>
      </c>
      <c r="V8">
        <v>0</v>
      </c>
      <c r="W8">
        <v>0</v>
      </c>
      <c r="X8">
        <v>0</v>
      </c>
      <c r="Y8">
        <v>0</v>
      </c>
      <c r="Z8">
        <v>150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21.89</v>
      </c>
      <c r="V9">
        <v>0</v>
      </c>
      <c r="W9">
        <v>0</v>
      </c>
      <c r="X9">
        <v>0</v>
      </c>
      <c r="Y9">
        <v>0</v>
      </c>
      <c r="Z9">
        <v>60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2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500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901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63.33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302.64999999999998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100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500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378</v>
      </c>
      <c r="M9">
        <v>0</v>
      </c>
      <c r="N9">
        <v>0</v>
      </c>
      <c r="O9">
        <v>0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140</v>
      </c>
      <c r="M10">
        <v>0</v>
      </c>
      <c r="N10">
        <v>0</v>
      </c>
      <c r="O10">
        <v>0</v>
      </c>
      <c r="P10">
        <v>33.33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383</v>
      </c>
      <c r="M11">
        <v>0</v>
      </c>
      <c r="N11">
        <v>0</v>
      </c>
      <c r="O11">
        <v>0</v>
      </c>
      <c r="P11">
        <v>13.33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202.65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68.67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558</v>
      </c>
      <c r="K3" s="4">
        <f t="shared" si="0"/>
        <v>0</v>
      </c>
      <c r="L3" s="4">
        <f t="shared" si="0"/>
        <v>1139</v>
      </c>
      <c r="M3" s="4">
        <f t="shared" si="0"/>
        <v>0</v>
      </c>
      <c r="N3" s="4">
        <f t="shared" si="0"/>
        <v>0</v>
      </c>
      <c r="O3" s="4">
        <f t="shared" si="0"/>
        <v>118.33</v>
      </c>
      <c r="P3" s="4">
        <f t="shared" si="0"/>
        <v>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202.65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70</v>
      </c>
      <c r="B7">
        <v>0</v>
      </c>
      <c r="C7">
        <v>0</v>
      </c>
      <c r="D7">
        <v>0</v>
      </c>
      <c r="E7">
        <v>68.67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558</v>
      </c>
      <c r="K8">
        <v>0</v>
      </c>
      <c r="L8">
        <v>0</v>
      </c>
      <c r="M8">
        <v>0</v>
      </c>
      <c r="N8">
        <v>0</v>
      </c>
      <c r="O8">
        <v>50.83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510</v>
      </c>
      <c r="M9">
        <v>0</v>
      </c>
      <c r="N9">
        <v>0</v>
      </c>
      <c r="O9">
        <v>67.5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337</v>
      </c>
      <c r="M10">
        <v>0</v>
      </c>
      <c r="N10">
        <v>0</v>
      </c>
      <c r="O10">
        <v>0</v>
      </c>
      <c r="P10">
        <v>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292</v>
      </c>
      <c r="M11">
        <v>0</v>
      </c>
      <c r="N11">
        <v>0</v>
      </c>
      <c r="O11">
        <v>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202.65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68.67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558</v>
      </c>
      <c r="K3" s="4">
        <f t="shared" si="0"/>
        <v>0</v>
      </c>
      <c r="L3" s="4">
        <f t="shared" si="0"/>
        <v>1139</v>
      </c>
      <c r="M3" s="4">
        <f t="shared" si="0"/>
        <v>0</v>
      </c>
      <c r="N3" s="4">
        <f t="shared" si="0"/>
        <v>0</v>
      </c>
      <c r="O3" s="4">
        <f t="shared" si="0"/>
        <v>118.33</v>
      </c>
      <c r="P3" s="4">
        <f t="shared" si="0"/>
        <v>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202.65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70</v>
      </c>
      <c r="B7">
        <v>0</v>
      </c>
      <c r="C7">
        <v>0</v>
      </c>
      <c r="D7">
        <v>0</v>
      </c>
      <c r="E7">
        <v>68.67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558</v>
      </c>
      <c r="K8">
        <v>0</v>
      </c>
      <c r="L8">
        <v>0</v>
      </c>
      <c r="M8">
        <v>0</v>
      </c>
      <c r="N8">
        <v>0</v>
      </c>
      <c r="O8">
        <v>50.83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510</v>
      </c>
      <c r="M9">
        <v>0</v>
      </c>
      <c r="N9">
        <v>0</v>
      </c>
      <c r="O9">
        <v>67.5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337</v>
      </c>
      <c r="M10">
        <v>0</v>
      </c>
      <c r="N10">
        <v>0</v>
      </c>
      <c r="O10">
        <v>0</v>
      </c>
      <c r="P10">
        <v>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292</v>
      </c>
      <c r="M11">
        <v>0</v>
      </c>
      <c r="N11">
        <v>0</v>
      </c>
      <c r="O11">
        <v>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202.65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500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901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63.33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302.64999999999998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100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500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378</v>
      </c>
      <c r="M9">
        <v>0</v>
      </c>
      <c r="N9">
        <v>0</v>
      </c>
      <c r="O9">
        <v>0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140</v>
      </c>
      <c r="M10">
        <v>0</v>
      </c>
      <c r="N10">
        <v>0</v>
      </c>
      <c r="O10">
        <v>0</v>
      </c>
      <c r="P10">
        <v>33.33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383</v>
      </c>
      <c r="M11">
        <v>0</v>
      </c>
      <c r="N11">
        <v>0</v>
      </c>
      <c r="O11">
        <v>0</v>
      </c>
      <c r="P11">
        <v>13.33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202.65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74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500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901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63.33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302.64999999999998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100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500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378</v>
      </c>
      <c r="M9">
        <v>0</v>
      </c>
      <c r="N9">
        <v>0</v>
      </c>
      <c r="O9">
        <v>0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140</v>
      </c>
      <c r="M10">
        <v>0</v>
      </c>
      <c r="N10">
        <v>0</v>
      </c>
      <c r="O10">
        <v>0</v>
      </c>
      <c r="P10">
        <v>33.33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383</v>
      </c>
      <c r="M11">
        <v>0</v>
      </c>
      <c r="N11">
        <v>0</v>
      </c>
      <c r="O11">
        <v>0</v>
      </c>
      <c r="P11">
        <v>13.33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202.65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68.67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558</v>
      </c>
      <c r="K3" s="4">
        <f t="shared" si="0"/>
        <v>0</v>
      </c>
      <c r="L3" s="4">
        <f t="shared" si="0"/>
        <v>1139</v>
      </c>
      <c r="M3" s="4">
        <f t="shared" si="0"/>
        <v>0</v>
      </c>
      <c r="N3" s="4">
        <f t="shared" si="0"/>
        <v>0</v>
      </c>
      <c r="O3" s="4">
        <f t="shared" si="0"/>
        <v>118.33</v>
      </c>
      <c r="P3" s="4">
        <f t="shared" si="0"/>
        <v>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202.65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70</v>
      </c>
      <c r="B7">
        <v>0</v>
      </c>
      <c r="C7">
        <v>0</v>
      </c>
      <c r="D7">
        <v>0</v>
      </c>
      <c r="E7">
        <v>68.67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558</v>
      </c>
      <c r="K8">
        <v>0</v>
      </c>
      <c r="L8">
        <v>0</v>
      </c>
      <c r="M8">
        <v>0</v>
      </c>
      <c r="N8">
        <v>0</v>
      </c>
      <c r="O8">
        <v>50.83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510</v>
      </c>
      <c r="M9">
        <v>0</v>
      </c>
      <c r="N9">
        <v>0</v>
      </c>
      <c r="O9">
        <v>67.5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337</v>
      </c>
      <c r="M10">
        <v>0</v>
      </c>
      <c r="N10">
        <v>0</v>
      </c>
      <c r="O10">
        <v>0</v>
      </c>
      <c r="P10">
        <v>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292</v>
      </c>
      <c r="M11">
        <v>0</v>
      </c>
      <c r="N11">
        <v>0</v>
      </c>
      <c r="O11">
        <v>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202.65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326.81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210</v>
      </c>
      <c r="AA3" s="4">
        <f t="shared" si="0"/>
        <v>120</v>
      </c>
      <c r="AB3" s="4">
        <f t="shared" si="0"/>
        <v>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40</v>
      </c>
    </row>
    <row r="8" spans="1:29" x14ac:dyDescent="0.25">
      <c r="A8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120</v>
      </c>
      <c r="AB8">
        <v>0</v>
      </c>
      <c r="AC8">
        <v>0</v>
      </c>
    </row>
    <row r="9" spans="1:29" x14ac:dyDescent="0.2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304.92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  <row r="10" spans="1:29" x14ac:dyDescent="0.2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21.89</v>
      </c>
      <c r="V10">
        <v>0</v>
      </c>
      <c r="W10">
        <v>0</v>
      </c>
      <c r="X10">
        <v>0</v>
      </c>
      <c r="Y10">
        <v>0</v>
      </c>
      <c r="Z10">
        <v>60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76</v>
      </c>
    </row>
    <row r="2" spans="1:2" x14ac:dyDescent="0.3">
      <c r="A2" s="25" t="s">
        <v>77</v>
      </c>
      <c r="B2" s="25" t="s">
        <v>78</v>
      </c>
    </row>
    <row r="3" spans="1:2" x14ac:dyDescent="0.3">
      <c r="A3" s="26" t="s">
        <v>79</v>
      </c>
      <c r="B3" s="27">
        <v>0.09</v>
      </c>
    </row>
    <row r="4" spans="1:2" x14ac:dyDescent="0.3">
      <c r="A4" s="26" t="s">
        <v>80</v>
      </c>
      <c r="B4" s="27">
        <v>0.1</v>
      </c>
    </row>
    <row r="5" spans="1:2" x14ac:dyDescent="0.3">
      <c r="A5" s="26" t="s">
        <v>81</v>
      </c>
      <c r="B5" s="27">
        <v>2.5</v>
      </c>
    </row>
    <row r="6" spans="1:2" x14ac:dyDescent="0.3">
      <c r="A6" s="26" t="s">
        <v>82</v>
      </c>
      <c r="B6" s="27">
        <v>0.2</v>
      </c>
    </row>
    <row r="7" spans="1:2" x14ac:dyDescent="0.3">
      <c r="A7" s="26" t="s">
        <v>83</v>
      </c>
      <c r="B7" s="27">
        <v>0.06</v>
      </c>
    </row>
    <row r="8" spans="1:2" x14ac:dyDescent="0.3">
      <c r="A8" s="26" t="s">
        <v>84</v>
      </c>
      <c r="B8" s="27">
        <v>0.06</v>
      </c>
    </row>
    <row r="9" spans="1:2" x14ac:dyDescent="0.3">
      <c r="A9" s="26" t="s">
        <v>85</v>
      </c>
      <c r="B9" s="27">
        <v>0.08</v>
      </c>
    </row>
    <row r="10" spans="1:2" x14ac:dyDescent="0.3">
      <c r="A10" s="26" t="s">
        <v>86</v>
      </c>
      <c r="B10" s="27">
        <v>0.08</v>
      </c>
    </row>
    <row r="11" spans="1:2" x14ac:dyDescent="0.3">
      <c r="A11" s="26" t="s">
        <v>87</v>
      </c>
      <c r="B11" s="27">
        <v>0.09</v>
      </c>
    </row>
    <row r="12" spans="1:2" x14ac:dyDescent="0.3">
      <c r="A12" s="26" t="s">
        <v>88</v>
      </c>
      <c r="B12" s="27">
        <v>0.1</v>
      </c>
    </row>
    <row r="13" spans="1:2" x14ac:dyDescent="0.3">
      <c r="A13" s="26" t="s">
        <v>89</v>
      </c>
      <c r="B13" s="27">
        <v>0.11</v>
      </c>
    </row>
    <row r="14" spans="1:2" x14ac:dyDescent="0.3">
      <c r="A14" s="26" t="s">
        <v>90</v>
      </c>
      <c r="B14" s="27">
        <v>0.1</v>
      </c>
    </row>
    <row r="15" spans="1:2" x14ac:dyDescent="0.3">
      <c r="A15" s="26" t="s">
        <v>91</v>
      </c>
      <c r="B15" s="27">
        <v>0.22</v>
      </c>
    </row>
    <row r="16" spans="1:2" x14ac:dyDescent="0.3">
      <c r="A16" s="26" t="s">
        <v>92</v>
      </c>
      <c r="B16" s="27">
        <v>0.22</v>
      </c>
    </row>
    <row r="17" spans="1:2" x14ac:dyDescent="0.3">
      <c r="A17" s="26" t="s">
        <v>93</v>
      </c>
      <c r="B17" s="27">
        <v>0.33</v>
      </c>
    </row>
    <row r="18" spans="1:2" x14ac:dyDescent="0.3">
      <c r="A18" s="26" t="s">
        <v>94</v>
      </c>
      <c r="B18" s="27">
        <v>0.2</v>
      </c>
    </row>
    <row r="19" spans="1:2" x14ac:dyDescent="0.3">
      <c r="A19" s="26" t="s">
        <v>95</v>
      </c>
      <c r="B19" s="27">
        <v>0.22</v>
      </c>
    </row>
    <row r="20" spans="1:2" x14ac:dyDescent="0.3">
      <c r="A20" s="26" t="s">
        <v>81</v>
      </c>
      <c r="B20" s="27">
        <v>2.5</v>
      </c>
    </row>
    <row r="21" spans="1:2" x14ac:dyDescent="0.3">
      <c r="A21" s="26" t="s">
        <v>96</v>
      </c>
      <c r="B21" s="27">
        <v>130</v>
      </c>
    </row>
    <row r="22" spans="1:2" x14ac:dyDescent="0.3">
      <c r="A22" t="s">
        <v>97</v>
      </c>
      <c r="B22">
        <v>0.15</v>
      </c>
    </row>
    <row r="23" spans="1:2" x14ac:dyDescent="0.3">
      <c r="A23" t="s">
        <v>98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2026-05-14T14:22:32Z</dcterms:modified>
</cp:coreProperties>
</file>